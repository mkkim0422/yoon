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08" yWindow="-864" windowWidth="29016" windowHeight="15696" tabRatio="600" firstSheet="0" activeTab="1" autoFilterDateGrouping="1"/>
  </bookViews>
  <sheets>
    <sheet name="Invoice" sheetId="1" state="visible" r:id="rId1"/>
    <sheet name="Project" sheetId="2" state="visible" r:id="rId2"/>
    <sheet name="GMP Price Lis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8">
    <numFmt numFmtId="164" formatCode="&quot;$&quot;#,##0.00"/>
    <numFmt numFmtId="165" formatCode="&quot;$&quot;#,##0.000"/>
    <numFmt numFmtId="166" formatCode="_-* #,##0_-;\-* #,##0_-;_-* &quot;-&quot;_-;_-@_-"/>
    <numFmt numFmtId="167" formatCode="\$#,##0.00"/>
    <numFmt numFmtId="168" formatCode="&quot;₩&quot;#,##0_);[Red]\(&quot;₩&quot;#,##0\)"/>
    <numFmt numFmtId="169" formatCode="&quot;:   &quot;#,##0"/>
    <numFmt numFmtId="170" formatCode="&quot;₩&quot;#,##0_);\(&quot;₩&quot;#,##0\)"/>
    <numFmt numFmtId="171" formatCode="&quot;₩&quot;#,##0"/>
    <numFmt numFmtId="172" formatCode="\$#,##0"/>
    <numFmt numFmtId="173" formatCode="&quot;₩&quot;#,##0.00"/>
    <numFmt numFmtId="174" formatCode="&quot;₩&quot;#,##0.00_);\(&quot;₩&quot;#,##0.00\)"/>
    <numFmt numFmtId="175" formatCode="#,##0_);\(#,##0\)"/>
    <numFmt numFmtId="176" formatCode="#,##0.000_);\(#,##0.000\)"/>
    <numFmt numFmtId="177" formatCode="#,##0.00000_);[Red]\(#,##0.00000\)"/>
    <numFmt numFmtId="178" formatCode="\$#,##0_);\(\$#,##0\)"/>
    <numFmt numFmtId="179" formatCode="#,##0_ "/>
    <numFmt numFmtId="180" formatCode="&quot;-&quot;#,##0"/>
    <numFmt numFmtId="181" formatCode="\$#,##0.00_);\(\$#,##0.00\)"/>
  </numFmts>
  <fonts count="43"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rgb="FF4A5960"/>
      <sz val="72"/>
      <scheme val="minor"/>
    </font>
    <font>
      <name val="맑은 고딕"/>
      <charset val="129"/>
      <family val="3"/>
      <color rgb="FFFFFFFF"/>
      <sz val="36"/>
      <scheme val="minor"/>
    </font>
    <font>
      <name val="돋움"/>
      <charset val="129"/>
      <family val="3"/>
      <sz val="8"/>
    </font>
    <font>
      <name val="맑은 고딕"/>
      <charset val="129"/>
      <family val="3"/>
      <color rgb="FF212121"/>
      <sz val="36"/>
      <scheme val="minor"/>
    </font>
    <font>
      <name val="맑은 고딕"/>
      <charset val="129"/>
      <family val="3"/>
      <sz val="36"/>
      <scheme val="minor"/>
    </font>
    <font>
      <name val="맑은 고딕"/>
      <charset val="129"/>
      <family val="3"/>
      <color rgb="FF000000"/>
      <sz val="36"/>
      <scheme val="minor"/>
    </font>
    <font>
      <name val="Arial"/>
      <family val="2"/>
      <color rgb="FF000000"/>
      <sz val="36"/>
    </font>
    <font>
      <name val="맑은 고딕"/>
      <charset val="129"/>
      <family val="3"/>
      <sz val="8"/>
      <scheme val="minor"/>
    </font>
    <font>
      <name val="맑은 고딕"/>
      <charset val="129"/>
      <family val="3"/>
      <sz val="72"/>
      <scheme val="minor"/>
    </font>
    <font>
      <name val="Arial"/>
      <family val="2"/>
      <color rgb="FF000000"/>
      <sz val="72"/>
    </font>
    <font>
      <name val="맑은 고딕"/>
      <charset val="129"/>
      <family val="3"/>
      <color rgb="FFFFFFFF"/>
      <sz val="12"/>
      <scheme val="minor"/>
    </font>
    <font>
      <name val="맑은 고딕"/>
      <charset val="129"/>
      <family val="3"/>
      <sz val="12"/>
      <scheme val="minor"/>
    </font>
    <font>
      <name val="Roboto"/>
      <sz val="10"/>
    </font>
    <font>
      <name val="Roboto"/>
      <sz val="12"/>
    </font>
    <font>
      <name val="Arial"/>
      <family val="2"/>
      <sz val="10"/>
    </font>
    <font>
      <name val="Roboto"/>
      <color rgb="FF000000"/>
      <sz val="10"/>
    </font>
    <font>
      <name val="Roboto"/>
      <sz val="8"/>
    </font>
    <font>
      <name val="Calibri"/>
      <family val="2"/>
      <color theme="1"/>
      <sz val="11"/>
    </font>
    <font>
      <name val="Arial"/>
      <family val="2"/>
      <color rgb="FF000000"/>
      <sz val="10"/>
    </font>
    <font>
      <name val="Calibri"/>
      <family val="2"/>
      <color theme="1"/>
      <sz val="8"/>
    </font>
    <font>
      <name val="맑은 고딕"/>
      <charset val="129"/>
      <family val="2"/>
      <color theme="1"/>
      <sz val="8"/>
    </font>
    <font>
      <name val="돋움"/>
      <charset val="129"/>
      <family val="3"/>
      <sz val="11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b val="1"/>
      <color theme="0"/>
      <sz val="11"/>
      <scheme val="minor"/>
    </font>
    <font>
      <name val="맑은 고딕"/>
      <charset val="129"/>
      <family val="3"/>
      <color rgb="FF212121"/>
      <sz val="11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b val="1"/>
      <color theme="0"/>
      <sz val="12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color rgb="FFFF0000"/>
      <sz val="10"/>
      <scheme val="minor"/>
    </font>
    <font>
      <name val="Malgun Gothic"/>
      <charset val="129"/>
      <family val="3"/>
      <b val="1"/>
      <color theme="1"/>
      <sz val="12"/>
    </font>
    <font>
      <name val="Malgun Gothic"/>
      <charset val="129"/>
      <family val="3"/>
      <color theme="1"/>
      <sz val="12"/>
    </font>
    <font>
      <name val="Calibri"/>
      <family val="2"/>
      <sz val="12"/>
    </font>
    <font>
      <name val="Malgun Gothic"/>
      <charset val="129"/>
      <family val="3"/>
      <b val="1"/>
      <color rgb="FFFF0000"/>
      <sz val="12"/>
    </font>
    <font>
      <name val="맑은 고딕"/>
      <charset val="129"/>
      <family val="3"/>
      <color theme="0"/>
      <sz val="10"/>
      <scheme val="minor"/>
    </font>
    <font>
      <name val="맑은 고딕"/>
      <charset val="129"/>
      <family val="3"/>
      <b val="1"/>
      <color theme="0"/>
      <sz val="10"/>
      <scheme val="minor"/>
    </font>
    <font>
      <name val="Calibri"/>
      <family val="2"/>
      <b val="1"/>
      <sz val="12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theme="0"/>
      <sz val="11"/>
      <scheme val="minor"/>
    </font>
  </fonts>
  <fills count="10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theme="6" tint="0.7999816888943144"/>
        <bgColor rgb="FF9FC5E8"/>
      </patternFill>
    </fill>
    <fill>
      <patternFill patternType="solid">
        <fgColor theme="6" tint="-0.499984740745262"/>
        <bgColor rgb="FF9FC5E8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E2EFD9"/>
        <bgColor rgb="FFE2EFD9"/>
      </patternFill>
    </fill>
    <fill>
      <patternFill patternType="solid">
        <fgColor rgb="FFC5E0B3"/>
        <bgColor rgb="FFC5E0B3"/>
      </patternFill>
    </fill>
  </fills>
  <borders count="2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dotted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 applyAlignment="1">
      <alignment vertical="center"/>
    </xf>
    <xf numFmtId="0" fontId="21" fillId="0" borderId="0"/>
    <xf numFmtId="41" fontId="24" fillId="0" borderId="0" applyAlignment="1">
      <alignment vertical="center"/>
    </xf>
  </cellStyleXfs>
  <cellXfs count="180">
    <xf numFmtId="0" fontId="0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3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 vertical="center" wrapText="1"/>
    </xf>
    <xf numFmtId="0" fontId="4" fillId="3" borderId="3" applyAlignment="1" pivotButton="0" quotePrefix="0" xfId="0">
      <alignment horizontal="left" vertical="center" wrapText="1"/>
    </xf>
    <xf numFmtId="0" fontId="4" fillId="3" borderId="3" applyAlignment="1" pivotButton="0" quotePrefix="0" xfId="0">
      <alignment horizontal="center" vertical="center" wrapText="1"/>
    </xf>
    <xf numFmtId="164" fontId="6" fillId="2" borderId="3" applyAlignment="1" pivotButton="0" quotePrefix="0" xfId="0">
      <alignment horizontal="left" vertical="center" wrapText="1"/>
    </xf>
    <xf numFmtId="3" fontId="6" fillId="2" borderId="3" applyAlignment="1" pivotButton="0" quotePrefix="0" xfId="0">
      <alignment horizontal="center" vertical="center" wrapText="1"/>
    </xf>
    <xf numFmtId="164" fontId="6" fillId="2" borderId="3" applyAlignment="1" pivotButton="0" quotePrefix="0" xfId="0">
      <alignment horizontal="center" vertical="center" wrapText="1"/>
    </xf>
    <xf numFmtId="164" fontId="7" fillId="2" borderId="3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164" fontId="8" fillId="0" borderId="3" applyAlignment="1" pivotButton="0" quotePrefix="0" xfId="0">
      <alignment horizontal="center" vertical="center" wrapText="1"/>
    </xf>
    <xf numFmtId="165" fontId="8" fillId="0" borderId="3" applyAlignment="1" pivotButton="0" quotePrefix="0" xfId="0">
      <alignment horizontal="center" vertical="center" wrapText="1"/>
    </xf>
    <xf numFmtId="0" fontId="9" fillId="0" borderId="0" applyAlignment="1" pivotButton="0" quotePrefix="0" xfId="0">
      <alignment wrapText="1"/>
    </xf>
    <xf numFmtId="0" fontId="10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wrapText="1"/>
    </xf>
    <xf numFmtId="164" fontId="6" fillId="0" borderId="3" applyAlignment="1" pivotButton="0" quotePrefix="0" xfId="0">
      <alignment horizontal="center" vertical="center" wrapText="1"/>
    </xf>
    <xf numFmtId="164" fontId="7" fillId="0" borderId="3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left" vertical="center" wrapText="1"/>
    </xf>
    <xf numFmtId="0" fontId="14" fillId="2" borderId="0" applyAlignment="1" pivotButton="0" quotePrefix="0" xfId="0">
      <alignment horizontal="left" wrapText="1"/>
    </xf>
    <xf numFmtId="0" fontId="4" fillId="0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left" wrapText="1"/>
    </xf>
    <xf numFmtId="164" fontId="8" fillId="2" borderId="3" applyAlignment="1" pivotButton="0" quotePrefix="0" xfId="0">
      <alignment horizontal="center" vertical="center" wrapText="1"/>
    </xf>
    <xf numFmtId="164" fontId="8" fillId="2" borderId="0" applyAlignment="1" pivotButton="0" quotePrefix="0" xfId="0">
      <alignment horizontal="left" vertical="center" wrapText="1"/>
    </xf>
    <xf numFmtId="164" fontId="6" fillId="2" borderId="3" applyAlignment="1" pivotButton="0" quotePrefix="0" xfId="0">
      <alignment vertical="center" wrapText="1"/>
    </xf>
    <xf numFmtId="0" fontId="1" fillId="0" borderId="7" applyAlignment="1" pivotButton="0" quotePrefix="0" xfId="0">
      <alignment horizontal="left" vertical="center" wrapText="1"/>
    </xf>
    <xf numFmtId="0" fontId="1" fillId="0" borderId="8" applyAlignment="1" pivotButton="0" quotePrefix="0" xfId="0">
      <alignment horizontal="left" vertical="center" wrapText="1"/>
    </xf>
    <xf numFmtId="0" fontId="10" fillId="0" borderId="8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164" fontId="18" fillId="2" borderId="0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left" vertical="center" wrapText="1"/>
    </xf>
    <xf numFmtId="0" fontId="22" fillId="0" borderId="0" applyAlignment="1" pivotButton="0" quotePrefix="0" xfId="0">
      <alignment vertical="center" wrapText="1"/>
    </xf>
    <xf numFmtId="0" fontId="26" fillId="5" borderId="3" applyAlignment="1" pivotButton="0" quotePrefix="0" xfId="0">
      <alignment horizontal="center" vertical="center" wrapText="1"/>
    </xf>
    <xf numFmtId="3" fontId="27" fillId="0" borderId="3" applyAlignment="1" pivotButton="0" quotePrefix="0" xfId="0">
      <alignment horizontal="center" vertical="center" wrapText="1"/>
    </xf>
    <xf numFmtId="166" fontId="27" fillId="0" borderId="3" applyAlignment="1" pivotButton="0" quotePrefix="0" xfId="0">
      <alignment horizontal="center" vertical="center" wrapText="1"/>
    </xf>
    <xf numFmtId="167" fontId="27" fillId="0" borderId="3" applyAlignment="1" pivotButton="0" quotePrefix="0" xfId="0">
      <alignment horizontal="center" vertical="center" wrapText="1"/>
    </xf>
    <xf numFmtId="0" fontId="28" fillId="4" borderId="3" applyAlignment="1" pivotButton="0" quotePrefix="0" xfId="0">
      <alignment vertical="center" wrapText="1"/>
    </xf>
    <xf numFmtId="166" fontId="28" fillId="4" borderId="3" applyAlignment="1" pivotButton="0" quotePrefix="0" xfId="0">
      <alignment vertical="center" wrapText="1"/>
    </xf>
    <xf numFmtId="0" fontId="30" fillId="0" borderId="0" applyAlignment="1" pivotButton="0" quotePrefix="0" xfId="0">
      <alignment vertical="center"/>
    </xf>
    <xf numFmtId="0" fontId="25" fillId="0" borderId="0" applyAlignment="1" pivotButton="0" quotePrefix="0" xfId="0">
      <alignment vertical="center"/>
    </xf>
    <xf numFmtId="0" fontId="31" fillId="0" borderId="0" applyAlignment="1" pivotButton="0" quotePrefix="0" xfId="0">
      <alignment horizontal="left" vertical="center"/>
    </xf>
    <xf numFmtId="0" fontId="31" fillId="0" borderId="0" applyAlignment="1" pivotButton="0" quotePrefix="0" xfId="0">
      <alignment vertical="center"/>
    </xf>
    <xf numFmtId="14" fontId="31" fillId="0" borderId="0" applyAlignment="1" pivotButton="0" quotePrefix="0" xfId="0">
      <alignment horizontal="left" vertical="center"/>
    </xf>
    <xf numFmtId="168" fontId="28" fillId="0" borderId="3" applyAlignment="1" pivotButton="0" quotePrefix="0" xfId="0">
      <alignment horizontal="right" vertical="center" wrapText="1"/>
    </xf>
    <xf numFmtId="0" fontId="32" fillId="0" borderId="0" applyAlignment="1" pivotButton="0" quotePrefix="0" xfId="0">
      <alignment horizontal="right" vertical="center"/>
    </xf>
    <xf numFmtId="0" fontId="33" fillId="0" borderId="0" applyAlignment="1" pivotButton="0" quotePrefix="0" xfId="0">
      <alignment horizontal="center" vertical="center"/>
    </xf>
    <xf numFmtId="169" fontId="33" fillId="0" borderId="0" applyAlignment="1" pivotButton="0" quotePrefix="0" xfId="0">
      <alignment horizontal="left" vertical="center"/>
    </xf>
    <xf numFmtId="0" fontId="35" fillId="0" borderId="9" applyAlignment="1" pivotButton="0" quotePrefix="0" xfId="0">
      <alignment horizontal="center" vertical="center"/>
    </xf>
    <xf numFmtId="170" fontId="37" fillId="9" borderId="9" applyAlignment="1" pivotButton="0" quotePrefix="0" xfId="0">
      <alignment horizontal="right" vertical="center"/>
    </xf>
    <xf numFmtId="167" fontId="30" fillId="0" borderId="0" applyAlignment="1" pivotButton="0" quotePrefix="0" xfId="0">
      <alignment vertical="center"/>
    </xf>
    <xf numFmtId="171" fontId="29" fillId="6" borderId="3" applyAlignment="1" pivotButton="0" quotePrefix="0" xfId="0">
      <alignment horizontal="right" vertical="center" wrapText="1"/>
    </xf>
    <xf numFmtId="172" fontId="28" fillId="0" borderId="3" applyAlignment="1" pivotButton="0" quotePrefix="0" xfId="0">
      <alignment horizontal="right" vertical="center" wrapText="1"/>
    </xf>
    <xf numFmtId="173" fontId="28" fillId="0" borderId="3" applyAlignment="1" pivotButton="0" quotePrefix="0" xfId="0">
      <alignment horizontal="right" vertical="center" wrapText="1"/>
    </xf>
    <xf numFmtId="170" fontId="34" fillId="9" borderId="9" applyAlignment="1" pivotButton="0" quotePrefix="0" xfId="0">
      <alignment horizontal="right" vertical="center"/>
    </xf>
    <xf numFmtId="0" fontId="25" fillId="0" borderId="0" applyAlignment="1" pivotButton="0" quotePrefix="1" xfId="0">
      <alignment vertical="center"/>
    </xf>
    <xf numFmtId="174" fontId="25" fillId="0" borderId="0" applyAlignment="1" pivotButton="0" quotePrefix="0" xfId="0">
      <alignment horizontal="left" vertical="center"/>
    </xf>
    <xf numFmtId="175" fontId="35" fillId="0" borderId="9" applyAlignment="1" pivotButton="0" quotePrefix="0" xfId="0">
      <alignment vertical="center"/>
    </xf>
    <xf numFmtId="176" fontId="35" fillId="0" borderId="0" applyAlignment="1" pivotButton="0" quotePrefix="0" xfId="0">
      <alignment horizontal="center" vertical="center"/>
    </xf>
    <xf numFmtId="0" fontId="36" fillId="0" borderId="0" applyAlignment="1" pivotButton="0" quotePrefix="0" xfId="0">
      <alignment vertical="center"/>
    </xf>
    <xf numFmtId="175" fontId="35" fillId="0" borderId="0" applyAlignment="1" pivotButton="0" quotePrefix="0" xfId="0">
      <alignment vertical="center"/>
    </xf>
    <xf numFmtId="177" fontId="35" fillId="0" borderId="0" applyAlignment="1" pivotButton="0" quotePrefix="0" xfId="0">
      <alignment horizontal="center" vertical="center"/>
    </xf>
    <xf numFmtId="177" fontId="36" fillId="0" borderId="0" applyAlignment="1" pivotButton="0" quotePrefix="0" xfId="0">
      <alignment vertical="center"/>
    </xf>
    <xf numFmtId="0" fontId="34" fillId="0" borderId="0" applyAlignment="1" pivotButton="0" quotePrefix="0" xfId="0">
      <alignment horizontal="center" vertical="center"/>
    </xf>
    <xf numFmtId="170" fontId="34" fillId="0" borderId="0" applyAlignment="1" pivotButton="0" quotePrefix="0" xfId="0">
      <alignment horizontal="right" vertical="center"/>
    </xf>
    <xf numFmtId="178" fontId="0" fillId="0" borderId="0" applyAlignment="1" pivotButton="0" quotePrefix="0" xfId="0">
      <alignment vertical="center"/>
    </xf>
    <xf numFmtId="0" fontId="38" fillId="0" borderId="0" applyAlignment="1" pivotButton="0" quotePrefix="0" xfId="0">
      <alignment vertical="center"/>
    </xf>
    <xf numFmtId="0" fontId="38" fillId="0" borderId="0" applyAlignment="1" pivotButton="0" quotePrefix="0" xfId="0">
      <alignment horizontal="left" vertical="center"/>
    </xf>
    <xf numFmtId="41" fontId="38" fillId="0" borderId="0" applyAlignment="1" pivotButton="0" quotePrefix="0" xfId="0">
      <alignment horizontal="left" vertical="center"/>
    </xf>
    <xf numFmtId="169" fontId="39" fillId="0" borderId="0" applyAlignment="1" pivotButton="0" quotePrefix="0" xfId="0">
      <alignment horizontal="left" vertical="center"/>
    </xf>
    <xf numFmtId="0" fontId="41" fillId="0" borderId="0" applyAlignment="1" pivotButton="0" quotePrefix="0" xfId="0">
      <alignment vertical="center"/>
    </xf>
    <xf numFmtId="0" fontId="42" fillId="0" borderId="0" applyAlignment="1" pivotButton="0" quotePrefix="0" xfId="0">
      <alignment vertical="center"/>
    </xf>
    <xf numFmtId="175" fontId="42" fillId="0" borderId="0" applyAlignment="1" pivotButton="0" quotePrefix="0" xfId="0">
      <alignment vertical="center"/>
    </xf>
    <xf numFmtId="0" fontId="34" fillId="8" borderId="10" applyAlignment="1" pivotButton="0" quotePrefix="0" xfId="0">
      <alignment horizontal="center" vertical="center"/>
    </xf>
    <xf numFmtId="0" fontId="36" fillId="0" borderId="12" applyAlignment="1" pivotButton="0" quotePrefix="0" xfId="0">
      <alignment vertical="center"/>
    </xf>
    <xf numFmtId="0" fontId="36" fillId="0" borderId="11" applyAlignment="1" pivotButton="0" quotePrefix="0" xfId="0">
      <alignment vertical="center"/>
    </xf>
    <xf numFmtId="41" fontId="34" fillId="8" borderId="10" applyAlignment="1" pivotButton="0" quotePrefix="0" xfId="0">
      <alignment horizontal="center" vertical="center"/>
    </xf>
    <xf numFmtId="0" fontId="40" fillId="0" borderId="12" applyAlignment="1" pivotButton="0" quotePrefix="0" xfId="0">
      <alignment vertical="center"/>
    </xf>
    <xf numFmtId="0" fontId="40" fillId="0" borderId="11" applyAlignment="1" pivotButton="0" quotePrefix="0" xfId="0">
      <alignment vertical="center"/>
    </xf>
    <xf numFmtId="0" fontId="35" fillId="0" borderId="10" applyAlignment="1" pivotButton="0" quotePrefix="0" xfId="0">
      <alignment horizontal="center" vertical="center" wrapText="1"/>
    </xf>
    <xf numFmtId="177" fontId="35" fillId="0" borderId="10" applyAlignment="1" pivotButton="0" quotePrefix="0" xfId="0">
      <alignment horizontal="center" vertical="center"/>
    </xf>
    <xf numFmtId="177" fontId="36" fillId="0" borderId="11" applyAlignment="1" pivotButton="0" quotePrefix="0" xfId="0">
      <alignment vertical="center"/>
    </xf>
    <xf numFmtId="0" fontId="35" fillId="9" borderId="10" applyAlignment="1" pivotButton="0" quotePrefix="0" xfId="0">
      <alignment horizontal="center" vertical="center"/>
    </xf>
    <xf numFmtId="176" fontId="35" fillId="0" borderId="10" applyAlignment="1" pivotButton="0" quotePrefix="0" xfId="0">
      <alignment horizontal="center" vertical="center"/>
    </xf>
    <xf numFmtId="0" fontId="22" fillId="0" borderId="0" applyAlignment="1" pivotButton="0" quotePrefix="0" xfId="0">
      <alignment horizontal="left" vertical="center" wrapText="1"/>
    </xf>
    <xf numFmtId="41" fontId="35" fillId="8" borderId="10" applyAlignment="1" pivotButton="0" quotePrefix="0" xfId="0">
      <alignment horizontal="center" vertical="center"/>
    </xf>
    <xf numFmtId="0" fontId="34" fillId="8" borderId="12" applyAlignment="1" pivotButton="0" quotePrefix="0" xfId="0">
      <alignment horizontal="center" vertical="center"/>
    </xf>
    <xf numFmtId="0" fontId="34" fillId="8" borderId="11" applyAlignment="1" pivotButton="0" quotePrefix="0" xfId="0">
      <alignment horizontal="center" vertical="center"/>
    </xf>
    <xf numFmtId="0" fontId="35" fillId="0" borderId="13" applyAlignment="1" pivotButton="0" quotePrefix="0" xfId="0">
      <alignment horizontal="center" vertical="center" wrapText="1"/>
    </xf>
    <xf numFmtId="0" fontId="36" fillId="0" borderId="14" applyAlignment="1" pivotButton="0" quotePrefix="0" xfId="0">
      <alignment vertical="center"/>
    </xf>
    <xf numFmtId="0" fontId="36" fillId="0" borderId="15" applyAlignment="1" pivotButton="0" quotePrefix="0" xfId="0">
      <alignment vertical="center"/>
    </xf>
    <xf numFmtId="0" fontId="34" fillId="9" borderId="10" applyAlignment="1" pivotButton="0" quotePrefix="0" xfId="0">
      <alignment horizontal="center" vertical="center"/>
    </xf>
    <xf numFmtId="0" fontId="37" fillId="9" borderId="10" applyAlignment="1" pivotButton="0" quotePrefix="0" xfId="0">
      <alignment horizontal="center" vertical="center"/>
    </xf>
    <xf numFmtId="164" fontId="27" fillId="7" borderId="3" applyAlignment="1" pivotButton="0" quotePrefix="0" xfId="0">
      <alignment horizontal="center" vertical="center" wrapText="1"/>
    </xf>
    <xf numFmtId="179" fontId="27" fillId="0" borderId="3" applyAlignment="1" pivotButton="0" quotePrefix="0" xfId="0">
      <alignment horizontal="center" vertical="center" wrapText="1"/>
    </xf>
    <xf numFmtId="180" fontId="27" fillId="0" borderId="3" applyAlignment="1" pivotButton="0" quotePrefix="0" xfId="0">
      <alignment horizontal="center" vertical="center" wrapText="1"/>
    </xf>
    <xf numFmtId="3" fontId="27" fillId="0" borderId="3" applyAlignment="1" pivotButton="0" quotePrefix="0" xfId="0">
      <alignment horizontal="center" vertical="center" wrapText="1"/>
    </xf>
    <xf numFmtId="0" fontId="28" fillId="4" borderId="4" applyAlignment="1" pivotButton="0" quotePrefix="0" xfId="0">
      <alignment horizontal="center" vertical="center" wrapText="1"/>
    </xf>
    <xf numFmtId="0" fontId="28" fillId="4" borderId="5" applyAlignment="1" pivotButton="0" quotePrefix="0" xfId="0">
      <alignment horizontal="center" vertical="center" wrapText="1"/>
    </xf>
    <xf numFmtId="0" fontId="26" fillId="5" borderId="3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left" vertical="center" wrapText="1"/>
    </xf>
    <xf numFmtId="0" fontId="29" fillId="6" borderId="3" applyAlignment="1" pivotButton="0" quotePrefix="1" xfId="0">
      <alignment horizontal="left" vertical="center" wrapText="1"/>
    </xf>
    <xf numFmtId="0" fontId="29" fillId="6" borderId="3" applyAlignment="1" pivotButton="0" quotePrefix="0" xfId="0">
      <alignment horizontal="left" vertical="center" wrapText="1"/>
    </xf>
    <xf numFmtId="0" fontId="28" fillId="0" borderId="4" applyAlignment="1" pivotButton="0" quotePrefix="0" xfId="0">
      <alignment horizontal="left" vertical="center" wrapText="1"/>
    </xf>
    <xf numFmtId="0" fontId="28" fillId="0" borderId="5" applyAlignment="1" pivotButton="0" quotePrefix="0" xfId="0">
      <alignment horizontal="left" vertical="center" wrapText="1"/>
    </xf>
    <xf numFmtId="0" fontId="28" fillId="0" borderId="6" applyAlignment="1" pivotButton="0" quotePrefix="0" xfId="0">
      <alignment horizontal="left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 wrapText="1"/>
    </xf>
    <xf numFmtId="0" fontId="4" fillId="3" borderId="6" applyAlignment="1" pivotButton="0" quotePrefix="0" xfId="0">
      <alignment horizontal="center" vertical="center" wrapText="1"/>
    </xf>
    <xf numFmtId="0" fontId="15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167" fontId="27" fillId="0" borderId="3" applyAlignment="1" pivotButton="0" quotePrefix="0" xfId="0">
      <alignment horizontal="right" vertical="center" wrapText="1"/>
    </xf>
    <xf numFmtId="167" fontId="28" fillId="4" borderId="3" applyAlignment="1" pivotButton="0" quotePrefix="0" xfId="0">
      <alignment horizontal="right" vertical="center" wrapText="1"/>
    </xf>
    <xf numFmtId="181" fontId="42" fillId="0" borderId="0" applyAlignment="1" pivotButton="0" quotePrefix="0" xfId="0">
      <alignment vertical="center"/>
    </xf>
    <xf numFmtId="178" fontId="35" fillId="9" borderId="9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6" pivotButton="0" quotePrefix="0" xfId="0"/>
    <xf numFmtId="164" fontId="27" fillId="7" borderId="3" applyAlignment="1" pivotButton="0" quotePrefix="0" xfId="0">
      <alignment horizontal="center" vertical="center" wrapText="1"/>
    </xf>
    <xf numFmtId="179" fontId="27" fillId="0" borderId="3" applyAlignment="1" pivotButton="0" quotePrefix="0" xfId="0">
      <alignment horizontal="center" vertical="center" wrapText="1"/>
    </xf>
    <xf numFmtId="180" fontId="27" fillId="0" borderId="3" applyAlignment="1" pivotButton="0" quotePrefix="0" xfId="0">
      <alignment horizontal="center" vertical="center" wrapText="1"/>
    </xf>
    <xf numFmtId="166" fontId="27" fillId="0" borderId="3" applyAlignment="1" pivotButton="0" quotePrefix="0" xfId="0">
      <alignment horizontal="center" vertical="center" wrapText="1"/>
    </xf>
    <xf numFmtId="167" fontId="27" fillId="0" borderId="3" applyAlignment="1" pivotButton="0" quotePrefix="0" xfId="0">
      <alignment horizontal="center" vertical="center" wrapText="1"/>
    </xf>
    <xf numFmtId="167" fontId="27" fillId="0" borderId="3" applyAlignment="1" pivotButton="0" quotePrefix="0" xfId="0">
      <alignment horizontal="right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5" pivotButton="0" quotePrefix="0" xfId="0"/>
    <xf numFmtId="166" fontId="28" fillId="4" borderId="3" applyAlignment="1" pivotButton="0" quotePrefix="0" xfId="0">
      <alignment vertical="center" wrapText="1"/>
    </xf>
    <xf numFmtId="167" fontId="28" fillId="4" borderId="3" applyAlignment="1" pivotButton="0" quotePrefix="0" xfId="0">
      <alignment horizontal="right" vertical="center" wrapText="1"/>
    </xf>
    <xf numFmtId="167" fontId="30" fillId="0" borderId="0" applyAlignment="1" pivotButton="0" quotePrefix="0" xfId="0">
      <alignment vertical="center"/>
    </xf>
    <xf numFmtId="168" fontId="28" fillId="0" borderId="3" applyAlignment="1" pivotButton="0" quotePrefix="0" xfId="0">
      <alignment horizontal="right" vertical="center" wrapText="1"/>
    </xf>
    <xf numFmtId="172" fontId="28" fillId="0" borderId="3" applyAlignment="1" pivotButton="0" quotePrefix="0" xfId="0">
      <alignment horizontal="right" vertical="center" wrapText="1"/>
    </xf>
    <xf numFmtId="173" fontId="28" fillId="0" borderId="3" applyAlignment="1" pivotButton="0" quotePrefix="0" xfId="0">
      <alignment horizontal="right" vertical="center" wrapText="1"/>
    </xf>
    <xf numFmtId="171" fontId="29" fillId="6" borderId="3" applyAlignment="1" pivotButton="0" quotePrefix="0" xfId="0">
      <alignment horizontal="right" vertical="center" wrapText="1"/>
    </xf>
    <xf numFmtId="174" fontId="25" fillId="0" borderId="0" applyAlignment="1" pivotButton="0" quotePrefix="0" xfId="0">
      <alignment horizontal="left" vertical="center"/>
    </xf>
    <xf numFmtId="41" fontId="38" fillId="0" borderId="0" applyAlignment="1" pivotButton="0" quotePrefix="0" xfId="0">
      <alignment horizontal="left" vertical="center"/>
    </xf>
    <xf numFmtId="169" fontId="39" fillId="0" borderId="0" applyAlignment="1" pivotButton="0" quotePrefix="0" xfId="0">
      <alignment horizontal="left" vertical="center"/>
    </xf>
    <xf numFmtId="0" fontId="35" fillId="0" borderId="23" applyAlignment="1" pivotButton="0" quotePrefix="0" xfId="0">
      <alignment horizontal="center" vertical="center" wrapText="1"/>
    </xf>
    <xf numFmtId="0" fontId="34" fillId="8" borderId="9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1" pivotButton="0" quotePrefix="0" xfId="0"/>
    <xf numFmtId="0" fontId="0" fillId="0" borderId="14" pivotButton="0" quotePrefix="0" xfId="0"/>
    <xf numFmtId="41" fontId="34" fillId="8" borderId="9" applyAlignment="1" pivotButton="0" quotePrefix="0" xfId="0">
      <alignment horizontal="center" vertical="center"/>
    </xf>
    <xf numFmtId="0" fontId="35" fillId="0" borderId="9" applyAlignment="1" pivotButton="0" quotePrefix="0" xfId="0">
      <alignment horizontal="center" vertical="center" wrapText="1"/>
    </xf>
    <xf numFmtId="0" fontId="0" fillId="0" borderId="15" pivotButton="0" quotePrefix="0" xfId="0"/>
    <xf numFmtId="176" fontId="35" fillId="0" borderId="9" applyAlignment="1" pivotButton="0" quotePrefix="0" xfId="0">
      <alignment horizontal="center" vertical="center"/>
    </xf>
    <xf numFmtId="175" fontId="35" fillId="0" borderId="9" applyAlignment="1" pivotButton="0" quotePrefix="0" xfId="0">
      <alignment vertical="center"/>
    </xf>
    <xf numFmtId="177" fontId="35" fillId="0" borderId="9" applyAlignment="1" pivotButton="0" quotePrefix="0" xfId="0">
      <alignment horizontal="center" vertical="center"/>
    </xf>
    <xf numFmtId="0" fontId="35" fillId="9" borderId="9" applyAlignment="1" pivotButton="0" quotePrefix="0" xfId="0">
      <alignment horizontal="center" vertical="center"/>
    </xf>
    <xf numFmtId="178" fontId="35" fillId="9" borderId="9" applyAlignment="1" pivotButton="0" quotePrefix="0" xfId="0">
      <alignment horizontal="right" vertical="center"/>
    </xf>
    <xf numFmtId="176" fontId="35" fillId="0" borderId="0" applyAlignment="1" pivotButton="0" quotePrefix="0" xfId="0">
      <alignment horizontal="center" vertical="center"/>
    </xf>
    <xf numFmtId="175" fontId="35" fillId="0" borderId="0" applyAlignment="1" pivotButton="0" quotePrefix="0" xfId="0">
      <alignment vertical="center"/>
    </xf>
    <xf numFmtId="177" fontId="35" fillId="0" borderId="0" applyAlignment="1" pivotButton="0" quotePrefix="0" xfId="0">
      <alignment horizontal="center" vertical="center"/>
    </xf>
    <xf numFmtId="177" fontId="36" fillId="0" borderId="0" applyAlignment="1" pivotButton="0" quotePrefix="0" xfId="0">
      <alignment vertical="center"/>
    </xf>
    <xf numFmtId="0" fontId="34" fillId="9" borderId="9" applyAlignment="1" pivotButton="0" quotePrefix="0" xfId="0">
      <alignment horizontal="center" vertical="center"/>
    </xf>
    <xf numFmtId="170" fontId="34" fillId="9" borderId="9" applyAlignment="1" pivotButton="0" quotePrefix="0" xfId="0">
      <alignment horizontal="right" vertical="center"/>
    </xf>
    <xf numFmtId="175" fontId="42" fillId="0" borderId="0" applyAlignment="1" pivotButton="0" quotePrefix="0" xfId="0">
      <alignment vertical="center"/>
    </xf>
    <xf numFmtId="41" fontId="35" fillId="8" borderId="9" applyAlignment="1" pivotButton="0" quotePrefix="0" xfId="0">
      <alignment horizontal="center" vertical="center"/>
    </xf>
    <xf numFmtId="170" fontId="34" fillId="0" borderId="0" applyAlignment="1" pivotButton="0" quotePrefix="0" xfId="0">
      <alignment horizontal="right" vertical="center"/>
    </xf>
    <xf numFmtId="181" fontId="42" fillId="0" borderId="0" applyAlignment="1" pivotButton="0" quotePrefix="0" xfId="0">
      <alignment vertical="center"/>
    </xf>
    <xf numFmtId="0" fontId="37" fillId="9" borderId="9" applyAlignment="1" pivotButton="0" quotePrefix="0" xfId="0">
      <alignment horizontal="center" vertical="center"/>
    </xf>
    <xf numFmtId="170" fontId="37" fillId="9" borderId="9" applyAlignment="1" pivotButton="0" quotePrefix="0" xfId="0">
      <alignment horizontal="right" vertical="center"/>
    </xf>
    <xf numFmtId="178" fontId="0" fillId="0" borderId="0" applyAlignment="1" pivotButton="0" quotePrefix="0" xfId="0">
      <alignment vertical="center"/>
    </xf>
    <xf numFmtId="169" fontId="33" fillId="0" borderId="0" applyAlignment="1" pivotButton="0" quotePrefix="0" xfId="0">
      <alignment horizontal="left" vertical="center"/>
    </xf>
    <xf numFmtId="164" fontId="6" fillId="2" borderId="3" applyAlignment="1" pivotButton="0" quotePrefix="0" xfId="0">
      <alignment horizontal="left" vertical="center" wrapText="1"/>
    </xf>
    <xf numFmtId="164" fontId="6" fillId="2" borderId="3" applyAlignment="1" pivotButton="0" quotePrefix="0" xfId="0">
      <alignment horizontal="center" vertical="center" wrapText="1"/>
    </xf>
    <xf numFmtId="164" fontId="7" fillId="2" borderId="3" applyAlignment="1" pivotButton="0" quotePrefix="0" xfId="0">
      <alignment horizontal="center" vertical="center" wrapText="1"/>
    </xf>
    <xf numFmtId="164" fontId="8" fillId="0" borderId="3" applyAlignment="1" pivotButton="0" quotePrefix="0" xfId="0">
      <alignment horizontal="center" vertical="center" wrapText="1"/>
    </xf>
    <xf numFmtId="165" fontId="8" fillId="0" borderId="3" applyAlignment="1" pivotButton="0" quotePrefix="0" xfId="0">
      <alignment horizontal="center" vertical="center" wrapText="1"/>
    </xf>
    <xf numFmtId="164" fontId="6" fillId="0" borderId="3" applyAlignment="1" pivotButton="0" quotePrefix="0" xfId="0">
      <alignment horizontal="center" vertical="center" wrapText="1"/>
    </xf>
    <xf numFmtId="164" fontId="7" fillId="0" borderId="3" applyAlignment="1" pivotButton="0" quotePrefix="0" xfId="0">
      <alignment horizontal="center" vertical="center" wrapText="1"/>
    </xf>
    <xf numFmtId="164" fontId="8" fillId="2" borderId="3" applyAlignment="1" pivotButton="0" quotePrefix="0" xfId="0">
      <alignment horizontal="center" vertical="center" wrapText="1"/>
    </xf>
    <xf numFmtId="164" fontId="8" fillId="2" borderId="0" applyAlignment="1" pivotButton="0" quotePrefix="0" xfId="0">
      <alignment horizontal="left" vertical="center" wrapText="1"/>
    </xf>
    <xf numFmtId="164" fontId="6" fillId="2" borderId="3" applyAlignment="1" pivotButton="0" quotePrefix="0" xfId="0">
      <alignment vertical="center" wrapText="1"/>
    </xf>
    <xf numFmtId="164" fontId="18" fillId="2" borderId="0" applyAlignment="1" pivotButton="0" quotePrefix="0" xfId="0">
      <alignment horizontal="left" vertical="center" wrapText="1"/>
    </xf>
  </cellXfs>
  <cellStyles count="3">
    <cellStyle name="표준" xfId="0" builtinId="0"/>
    <cellStyle name="표준 5" xfId="1"/>
    <cellStyle name="쉼표 [0]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 /><Relationship Type="http://schemas.openxmlformats.org/officeDocument/2006/relationships/image" Target="/xl/media/image5.png" Id="rId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22860</colOff>
      <row>0</row>
      <rowOff>91440</rowOff>
    </from>
    <to>
      <col>4</col>
      <colOff>762000</colOff>
      <row>2</row>
      <rowOff>196215</rowOff>
    </to>
    <grpSp>
      <nvGrpSpPr>
        <cNvPr id="9" name="그룹 8"/>
        <cNvGrpSpPr/>
      </nvGrpSpPr>
      <grpSpPr>
        <a:xfrm rot="0">
          <a:off x="685800" y="91440"/>
          <a:ext cx="5029200" cy="729615"/>
          <a:chOff x="131445" y="177165"/>
          <a:chExt cx="3810713" cy="607695"/>
        </a:xfrm>
      </grpSpPr>
      <pic>
        <nvPicPr>
          <cNvPr id="11" name="그림 10"/>
          <cNvPicPr>
            <a:picLocks noChangeAspect="1"/>
          </cNvPicPr>
        </nvPicPr>
        <blipFill>
          <a:blip r:embed="rId1"/>
          <a:stretch>
            <a:fillRect/>
          </a:stretch>
        </blipFill>
        <spPr>
          <a:xfrm>
            <a:off x="435376" y="331890"/>
            <a:ext cx="2248093" cy="283196"/>
          </a:xfrm>
          <a:prstGeom prst="rect">
            <avLst/>
          </a:prstGeom>
          <a:ln>
            <a:prstDash val="solid"/>
          </a:ln>
        </spPr>
      </pic>
    </grpSp>
    <clientData/>
  </twoCellAnchor>
  <twoCellAnchor editAs="oneCell">
    <from>
      <col>5</col>
      <colOff>106680</colOff>
      <row>85</row>
      <rowOff>167640</rowOff>
    </from>
    <to>
      <col>6</col>
      <colOff>653360</colOff>
      <row>90</row>
      <rowOff>49529</rowOff>
    </to>
    <pic>
      <nvPicPr>
        <cNvPr id="14" name="그림 13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5455920" y="17983200"/>
          <a:ext cx="1666820" cy="84962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7</col>
      <colOff>1059180</colOff>
      <row>0</row>
      <rowOff>228600</rowOff>
    </from>
    <to>
      <col>8</col>
      <colOff>1244173</colOff>
      <row>2</row>
      <rowOff>191475</rowOff>
    </to>
    <pic>
      <nvPicPr>
        <cNvPr id="2" name="Picture 5"/>
        <cNvPicPr>
          <a:picLocks noChangeAspect="1" noChangeArrowheads="1"/>
        </cNvPicPr>
      </nvPicPr>
      <blipFill>
        <a:blip r:embed="rId3"/>
        <a:srcRect/>
        <a:stretch>
          <a:fillRect/>
        </a:stretch>
      </blipFill>
      <spPr bwMode="auto">
        <a:xfrm>
          <a:off x="9364980" y="228600"/>
          <a:ext cx="1305133" cy="587715"/>
        </a:xfrm>
        <a:prstGeom prst="rect">
          <avLst/>
        </a:prstGeom>
        <a:noFill/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22860</colOff>
      <row>0</row>
      <rowOff>91440</rowOff>
    </from>
    <to>
      <col>4</col>
      <colOff>762000</colOff>
      <row>2</row>
      <rowOff>196215</rowOff>
    </to>
    <grpSp>
      <nvGrpSpPr>
        <cNvPr id="2" name="그룹 1"/>
        <cNvGrpSpPr/>
      </nvGrpSpPr>
      <grpSpPr>
        <a:xfrm rot="0">
          <a:off x="678180" y="91440"/>
          <a:ext cx="5029200" cy="729615"/>
          <a:chOff x="131445" y="177165"/>
          <a:chExt cx="3810713" cy="607695"/>
        </a:xfrm>
      </grpSpPr>
      <pic>
        <nvPicPr>
          <cNvPr id="4" name="그림 3"/>
          <cNvPicPr>
            <a:picLocks noChangeAspect="1"/>
          </cNvPicPr>
        </nvPicPr>
        <blipFill>
          <a:blip r:embed="rId1"/>
          <a:stretch>
            <a:fillRect/>
          </a:stretch>
        </blipFill>
        <spPr>
          <a:xfrm>
            <a:off x="435376" y="331890"/>
            <a:ext cx="2248093" cy="283196"/>
          </a:xfrm>
          <a:prstGeom prst="rect">
            <avLst/>
          </a:prstGeom>
          <a:ln>
            <a:prstDash val="solid"/>
          </a:ln>
        </spPr>
      </pic>
    </grpSp>
    <clientData/>
  </twoCellAnchor>
  <twoCellAnchor editAs="oneCell">
    <from>
      <col>4</col>
      <colOff>967972</colOff>
      <row>0</row>
      <rowOff>222886</rowOff>
    </from>
    <to>
      <col>6</col>
      <colOff>32825</colOff>
      <row>2</row>
      <rowOff>185761</rowOff>
    </to>
    <pic>
      <nvPicPr>
        <cNvPr id="5" name="Picture 5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5913352" y="222886"/>
          <a:ext cx="1305133" cy="587715"/>
        </a:xfrm>
        <a:prstGeom prst="rect">
          <avLst/>
        </a:prstGeom>
        <a:noFill/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21225</colOff>
      <row>0</row>
      <rowOff>93344</rowOff>
    </from>
    <ext cx="9644589" cy="1335405"/>
    <pic>
      <nvPicPr>
        <cNvPr id="3" name="image1.png" title="Image"/>
        <cNvPicPr preferRelativeResize="0"/>
      </nvPicPr>
      <blipFill>
        <a:blip cstate="print" r:embed="rId1"/>
        <a:stretch>
          <a:fillRect/>
        </a:stretch>
      </blipFill>
      <spPr>
        <a:xfrm>
          <a:off x="17415" y="97154"/>
          <a:ext cx="9644589" cy="1335405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J244"/>
  <sheetViews>
    <sheetView showGridLines="0" topLeftCell="A58" zoomScaleNormal="100" workbookViewId="0">
      <selection activeCell="N81" sqref="N81"/>
    </sheetView>
  </sheetViews>
  <sheetFormatPr baseColWidth="8" defaultColWidth="8.69921875" defaultRowHeight="15.6"/>
  <cols>
    <col width="8.69921875" customWidth="1" style="45" min="1" max="1"/>
    <col width="26.8984375" customWidth="1" style="45" min="2" max="2"/>
    <col width="14.69921875" customWidth="1" style="45" min="3" max="8"/>
    <col width="17.69921875" customWidth="1" style="45" min="9" max="9"/>
    <col width="8.69921875" customWidth="1" style="45" min="10" max="16384"/>
  </cols>
  <sheetData>
    <row r="1" ht="25.05" customHeight="1" s="121">
      <c r="D1" s="46" t="n"/>
      <c r="E1" s="46" t="n"/>
      <c r="F1" s="46" t="n"/>
    </row>
    <row r="2" ht="25.05" customHeight="1" s="121">
      <c r="D2" s="46" t="n"/>
      <c r="E2" s="46" t="n"/>
      <c r="F2" s="46" t="n"/>
    </row>
    <row r="3" ht="19.95" customHeight="1" s="121">
      <c r="D3" s="46" t="n"/>
      <c r="E3" s="46" t="n"/>
      <c r="F3" s="46" t="n"/>
    </row>
    <row r="4" ht="19.95" customHeight="1" s="121">
      <c r="D4" s="46" t="n"/>
      <c r="E4" s="46" t="n"/>
      <c r="F4" s="46" t="n"/>
    </row>
    <row r="5" ht="19.95" customHeight="1" s="121">
      <c r="B5" s="48" t="inlineStr">
        <is>
          <t xml:space="preserve"> Invoice Date </t>
        </is>
      </c>
      <c r="C5" s="49" t="inlineStr">
        <is>
          <t>: 2026-04-06</t>
        </is>
      </c>
      <c r="D5" s="49" t="n"/>
      <c r="E5" s="49" t="n"/>
    </row>
    <row r="6" ht="19.95" customHeight="1" s="121">
      <c r="B6" s="48" t="inlineStr">
        <is>
          <t xml:space="preserve"> Billing Account Name  </t>
        </is>
      </c>
      <c r="C6" s="47" t="inlineStr">
        <is>
          <t>: Coupang</t>
        </is>
      </c>
      <c r="D6" s="47" t="n"/>
      <c r="E6" s="47" t="n"/>
    </row>
    <row r="7" ht="19.95" customHeight="1" s="121">
      <c r="B7" s="48" t="inlineStr">
        <is>
          <t xml:space="preserve"> Term of Use            </t>
        </is>
      </c>
      <c r="C7" s="47" t="inlineStr">
        <is>
          <t>: 2026-03-01 ~ 2026-03-31</t>
        </is>
      </c>
      <c r="D7" s="47" t="n"/>
      <c r="E7" s="47" t="n"/>
    </row>
    <row r="9" ht="17.4" customHeight="1" s="121">
      <c r="B9" s="105" t="inlineStr">
        <is>
          <t>API</t>
        </is>
      </c>
      <c r="C9" s="105" t="inlineStr">
        <is>
          <t>Usage</t>
        </is>
      </c>
      <c r="D9" s="105" t="inlineStr">
        <is>
          <t>Free Usage</t>
        </is>
      </c>
      <c r="E9" s="105" t="inlineStr">
        <is>
          <t>Subtotal</t>
        </is>
      </c>
      <c r="F9" s="105" t="inlineStr">
        <is>
          <t>할인 구간</t>
        </is>
      </c>
      <c r="G9" s="122" t="n"/>
      <c r="H9" s="105" t="inlineStr">
        <is>
          <t>단가</t>
        </is>
      </c>
      <c r="I9" s="105" t="inlineStr">
        <is>
          <t>Amount</t>
        </is>
      </c>
    </row>
    <row r="10" ht="17.4" customHeight="1" s="121">
      <c r="B10" s="123" t="inlineStr">
        <is>
          <t>Dynamic Maps</t>
        </is>
      </c>
      <c r="C10" s="124" t="n">
        <v>6161</v>
      </c>
      <c r="D10" s="125">
        <f>SUMIF('GMP Price List'!$A:$A,B10,'GMP Price List'!$C:$C)</f>
        <v/>
      </c>
      <c r="E10" s="102">
        <f>IF(C10-D10&gt;0,C10-D10,0)</f>
        <v/>
      </c>
      <c r="F10" s="102" t="inlineStr">
        <is>
          <t>0-100K</t>
        </is>
      </c>
      <c r="G10" s="126">
        <f>IF(E10&gt;100000,100000,E10)</f>
        <v/>
      </c>
      <c r="H10" s="127">
        <f>SUMIF('GMP Price List'!$A:$A,B10,'GMP Price List'!$D:$D)</f>
        <v/>
      </c>
      <c r="I10" s="128">
        <f>G10*H10/1000</f>
        <v/>
      </c>
    </row>
    <row r="11" ht="17.4" customHeight="1" s="121">
      <c r="B11" s="129" t="n"/>
      <c r="C11" s="129" t="n"/>
      <c r="D11" s="129" t="n"/>
      <c r="E11" s="129" t="n"/>
      <c r="F11" s="102" t="inlineStr">
        <is>
          <t>~500K</t>
        </is>
      </c>
      <c r="G11" s="126">
        <f>IF(E10&gt;500000,400000,E10-G10)</f>
        <v/>
      </c>
      <c r="H11" s="127">
        <f>SUMIF('GMP Price List'!$A:$A,B10,'GMP Price List'!$E:$E)</f>
        <v/>
      </c>
      <c r="I11" s="128">
        <f>G11*H11/1000</f>
        <v/>
      </c>
    </row>
    <row r="12" ht="17.4" customHeight="1" s="121">
      <c r="B12" s="129" t="n"/>
      <c r="C12" s="129" t="n"/>
      <c r="D12" s="129" t="n"/>
      <c r="E12" s="129" t="n"/>
      <c r="F12" s="102" t="inlineStr">
        <is>
          <t>~1M</t>
        </is>
      </c>
      <c r="G12" s="126">
        <f>IF(E10&gt;1000000,500000,E10-G10-G11)</f>
        <v/>
      </c>
      <c r="H12" s="127">
        <f>SUMIF('GMP Price List'!$A:$A,B10,'GMP Price List'!$F:$F)</f>
        <v/>
      </c>
      <c r="I12" s="128">
        <f>G12*H12/1000</f>
        <v/>
      </c>
    </row>
    <row r="13" ht="17.4" customHeight="1" s="121">
      <c r="B13" s="129" t="n"/>
      <c r="C13" s="129" t="n"/>
      <c r="D13" s="129" t="n"/>
      <c r="E13" s="129" t="n"/>
      <c r="F13" s="102" t="inlineStr">
        <is>
          <t>~5M</t>
        </is>
      </c>
      <c r="G13" s="126">
        <f>IF(E10&gt;5000000,4000000,E10-G10-G11-G12)</f>
        <v/>
      </c>
      <c r="H13" s="127">
        <f>SUMIF('GMP Price List'!$A:$A,B10,'GMP Price List'!$G:$G)</f>
        <v/>
      </c>
      <c r="I13" s="128">
        <f>G13*H13/1000</f>
        <v/>
      </c>
    </row>
    <row r="14" ht="17.4" customHeight="1" s="121">
      <c r="B14" s="130" t="n"/>
      <c r="C14" s="130" t="n"/>
      <c r="D14" s="130" t="n"/>
      <c r="E14" s="130" t="n"/>
      <c r="F14" s="102" t="inlineStr">
        <is>
          <t>~10M</t>
        </is>
      </c>
      <c r="G14" s="126">
        <f>IF(E10-G10-G11-G12-G13&gt;0,E10-G10-G11-G12-G13,0)</f>
        <v/>
      </c>
      <c r="H14" s="127">
        <f>SUMIF('GMP Price List'!$A:$A,B10,'GMP Price List'!$H:$H)</f>
        <v/>
      </c>
      <c r="I14" s="128">
        <f>G14*H14/1000</f>
        <v/>
      </c>
    </row>
    <row r="15" ht="17.4" customHeight="1" s="121">
      <c r="B15" s="103" t="inlineStr">
        <is>
          <t>소계</t>
        </is>
      </c>
      <c r="C15" s="131" t="n"/>
      <c r="D15" s="131" t="n"/>
      <c r="E15" s="131" t="n"/>
      <c r="F15" s="43" t="n"/>
      <c r="G15" s="132">
        <f>SUM(G10:G14)</f>
        <v/>
      </c>
      <c r="H15" s="43" t="n"/>
      <c r="I15" s="133">
        <f>ROUND(SUM(I10:I14),2)</f>
        <v/>
      </c>
      <c r="J15" s="134" t="n"/>
    </row>
    <row r="16" ht="17.4" customHeight="1" s="121">
      <c r="B16" s="123" t="inlineStr">
        <is>
          <t>Directions</t>
        </is>
      </c>
      <c r="C16" s="124" t="n">
        <v>0</v>
      </c>
      <c r="D16" s="125">
        <f>SUMIF('GMP Price List'!$A:$A,B16,'GMP Price List'!$C:$C)</f>
        <v/>
      </c>
      <c r="E16" s="102">
        <f>IF(C16-D16&gt;0,C16-D16,0)</f>
        <v/>
      </c>
      <c r="F16" s="102" t="inlineStr">
        <is>
          <t>0-100K</t>
        </is>
      </c>
      <c r="G16" s="126">
        <f>IF(E16&gt;100000,100000,E16)</f>
        <v/>
      </c>
      <c r="H16" s="127">
        <f>SUMIF('GMP Price List'!$A:$A,B16,'GMP Price List'!$D:$D)</f>
        <v/>
      </c>
      <c r="I16" s="128">
        <f>G16*H16/1000</f>
        <v/>
      </c>
    </row>
    <row r="17" ht="17.4" customHeight="1" s="121">
      <c r="B17" s="129" t="n"/>
      <c r="C17" s="129" t="n"/>
      <c r="D17" s="129" t="n"/>
      <c r="E17" s="129" t="n"/>
      <c r="F17" s="102" t="inlineStr">
        <is>
          <t>~500K</t>
        </is>
      </c>
      <c r="G17" s="126">
        <f>IF(E16&gt;500000,400000,E16-G16)</f>
        <v/>
      </c>
      <c r="H17" s="127">
        <f>SUMIF('GMP Price List'!$A:$A,B16,'GMP Price List'!$E:$E)</f>
        <v/>
      </c>
      <c r="I17" s="128">
        <f>G17*H17/1000</f>
        <v/>
      </c>
    </row>
    <row r="18" ht="17.4" customHeight="1" s="121">
      <c r="B18" s="129" t="n"/>
      <c r="C18" s="129" t="n"/>
      <c r="D18" s="129" t="n"/>
      <c r="E18" s="129" t="n"/>
      <c r="F18" s="102" t="inlineStr">
        <is>
          <t>~1M</t>
        </is>
      </c>
      <c r="G18" s="126">
        <f>IF(E16&gt;1000000,500000,E16-G16-G17)</f>
        <v/>
      </c>
      <c r="H18" s="127">
        <f>SUMIF('GMP Price List'!$A:$A,B16,'GMP Price List'!$F:$F)</f>
        <v/>
      </c>
      <c r="I18" s="128">
        <f>G18*H18/1000</f>
        <v/>
      </c>
    </row>
    <row r="19" ht="17.4" customHeight="1" s="121">
      <c r="B19" s="129" t="n"/>
      <c r="C19" s="129" t="n"/>
      <c r="D19" s="129" t="n"/>
      <c r="E19" s="129" t="n"/>
      <c r="F19" s="102" t="inlineStr">
        <is>
          <t>~5M</t>
        </is>
      </c>
      <c r="G19" s="126">
        <f>IF(E16&gt;5000000,4000000,E16-G16-G17-G18)</f>
        <v/>
      </c>
      <c r="H19" s="127">
        <f>SUMIF('GMP Price List'!$A:$A,B16,'GMP Price List'!$G:$G)</f>
        <v/>
      </c>
      <c r="I19" s="128">
        <f>G19*H19/1000</f>
        <v/>
      </c>
    </row>
    <row r="20" ht="17.4" customHeight="1" s="121">
      <c r="B20" s="130" t="n"/>
      <c r="C20" s="130" t="n"/>
      <c r="D20" s="130" t="n"/>
      <c r="E20" s="130" t="n"/>
      <c r="F20" s="102" t="inlineStr">
        <is>
          <t>~10M</t>
        </is>
      </c>
      <c r="G20" s="126">
        <f>IF(E16-G16-G17-G18-G19&gt;0,E16-G16-G17-G18-G19,0)</f>
        <v/>
      </c>
      <c r="H20" s="127">
        <f>SUMIF('GMP Price List'!$A:$A,B16,'GMP Price List'!$H:$H)</f>
        <v/>
      </c>
      <c r="I20" s="128">
        <f>G20*H20/1000</f>
        <v/>
      </c>
    </row>
    <row r="21" ht="17.4" customHeight="1" s="121">
      <c r="B21" s="103" t="inlineStr">
        <is>
          <t>소계</t>
        </is>
      </c>
      <c r="C21" s="131" t="n"/>
      <c r="D21" s="131" t="n"/>
      <c r="E21" s="131" t="n"/>
      <c r="F21" s="43" t="n"/>
      <c r="G21" s="132">
        <f>SUM(G16:G20)</f>
        <v/>
      </c>
      <c r="H21" s="43" t="n"/>
      <c r="I21" s="133">
        <f>ROUND(SUM(I16:I20),2)</f>
        <v/>
      </c>
      <c r="J21" s="134" t="n"/>
    </row>
    <row r="22" ht="17.4" customHeight="1" s="121">
      <c r="B22" s="123" t="inlineStr">
        <is>
          <t>Geocoding</t>
        </is>
      </c>
      <c r="C22" s="124" t="n">
        <v>6520</v>
      </c>
      <c r="D22" s="125">
        <f>SUMIF('GMP Price List'!$A:$A,B22,'GMP Price List'!$C:$C)</f>
        <v/>
      </c>
      <c r="E22" s="102">
        <f>IF(C22-D22&gt;0,C22-D22,0)</f>
        <v/>
      </c>
      <c r="F22" s="102" t="inlineStr">
        <is>
          <t>0-100K</t>
        </is>
      </c>
      <c r="G22" s="126">
        <f>IF(E22&gt;100000,100000,E22)</f>
        <v/>
      </c>
      <c r="H22" s="127">
        <f>SUMIF('GMP Price List'!$A:$A,B22,'GMP Price List'!$D:$D)</f>
        <v/>
      </c>
      <c r="I22" s="128">
        <f>G22*H22/1000</f>
        <v/>
      </c>
    </row>
    <row r="23" ht="17.4" customHeight="1" s="121">
      <c r="B23" s="129" t="n"/>
      <c r="C23" s="129" t="n"/>
      <c r="D23" s="129" t="n"/>
      <c r="E23" s="129" t="n"/>
      <c r="F23" s="102" t="inlineStr">
        <is>
          <t>~500K</t>
        </is>
      </c>
      <c r="G23" s="126">
        <f>IF(E22&gt;500000,400000,E22-G22)</f>
        <v/>
      </c>
      <c r="H23" s="127">
        <f>SUMIF('GMP Price List'!$A:$A,B22,'GMP Price List'!$E:$E)</f>
        <v/>
      </c>
      <c r="I23" s="128">
        <f>G23*H23/1000</f>
        <v/>
      </c>
    </row>
    <row r="24" ht="17.4" customHeight="1" s="121">
      <c r="B24" s="129" t="n"/>
      <c r="C24" s="129" t="n"/>
      <c r="D24" s="129" t="n"/>
      <c r="E24" s="129" t="n"/>
      <c r="F24" s="102" t="inlineStr">
        <is>
          <t>~1M</t>
        </is>
      </c>
      <c r="G24" s="126">
        <f>IF(E22&gt;1000000,500000,E22-G22-G23)</f>
        <v/>
      </c>
      <c r="H24" s="127">
        <f>SUMIF('GMP Price List'!$A:$A,B22,'GMP Price List'!$F:$F)</f>
        <v/>
      </c>
      <c r="I24" s="128">
        <f>G24*H24/1000</f>
        <v/>
      </c>
    </row>
    <row r="25" ht="17.4" customHeight="1" s="121">
      <c r="B25" s="129" t="n"/>
      <c r="C25" s="129" t="n"/>
      <c r="D25" s="129" t="n"/>
      <c r="E25" s="129" t="n"/>
      <c r="F25" s="102" t="inlineStr">
        <is>
          <t>~5M</t>
        </is>
      </c>
      <c r="G25" s="126">
        <f>IF(E22&gt;5000000,4000000,E22-G22-G23-G24)</f>
        <v/>
      </c>
      <c r="H25" s="127">
        <f>SUMIF('GMP Price List'!$A:$A,B22,'GMP Price List'!$G:$G)</f>
        <v/>
      </c>
      <c r="I25" s="128">
        <f>G25*H25/1000</f>
        <v/>
      </c>
    </row>
    <row r="26" ht="17.4" customHeight="1" s="121">
      <c r="B26" s="130" t="n"/>
      <c r="C26" s="130" t="n"/>
      <c r="D26" s="130" t="n"/>
      <c r="E26" s="130" t="n"/>
      <c r="F26" s="102" t="inlineStr">
        <is>
          <t>~10M</t>
        </is>
      </c>
      <c r="G26" s="126">
        <f>IF(E22-G22-G23-G24-G25&gt;0,E22-G22-G23-G24-G25,0)</f>
        <v/>
      </c>
      <c r="H26" s="127">
        <f>SUMIF('GMP Price List'!$A:$A,B22,'GMP Price List'!$H:$H)</f>
        <v/>
      </c>
      <c r="I26" s="128">
        <f>G26*H26/1000</f>
        <v/>
      </c>
    </row>
    <row r="27" ht="17.4" customHeight="1" s="121">
      <c r="B27" s="103" t="inlineStr">
        <is>
          <t>소계</t>
        </is>
      </c>
      <c r="C27" s="131" t="n"/>
      <c r="D27" s="131" t="n"/>
      <c r="E27" s="131" t="n"/>
      <c r="F27" s="43" t="n"/>
      <c r="G27" s="132">
        <f>SUM(G22:G26)</f>
        <v/>
      </c>
      <c r="H27" s="43" t="n"/>
      <c r="I27" s="133">
        <f>ROUND(SUM(I22:I26),2)</f>
        <v/>
      </c>
      <c r="J27" s="134" t="n"/>
    </row>
    <row r="28" ht="17.4" customHeight="1" s="121">
      <c r="B28" s="123" t="inlineStr">
        <is>
          <t>Autocomplete - Per Request</t>
        </is>
      </c>
      <c r="C28" s="124" t="n">
        <v>0</v>
      </c>
      <c r="D28" s="125">
        <f>SUMIF('GMP Price List'!$A:$A,B28,'GMP Price List'!$C:$C)</f>
        <v/>
      </c>
      <c r="E28" s="102">
        <f>IF(C28-D28&gt;0,C28-D28,0)</f>
        <v/>
      </c>
      <c r="F28" s="102" t="inlineStr">
        <is>
          <t>0-100K</t>
        </is>
      </c>
      <c r="G28" s="126">
        <f>IF(E28&gt;100000,100000,E28)</f>
        <v/>
      </c>
      <c r="H28" s="127">
        <f>SUMIF('GMP Price List'!$A:$A,B28,'GMP Price List'!$D:$D)</f>
        <v/>
      </c>
      <c r="I28" s="128">
        <f>G28*H28/1000</f>
        <v/>
      </c>
    </row>
    <row r="29" ht="17.4" customHeight="1" s="121">
      <c r="B29" s="129" t="n"/>
      <c r="C29" s="129" t="n"/>
      <c r="D29" s="129" t="n"/>
      <c r="E29" s="129" t="n"/>
      <c r="F29" s="102" t="inlineStr">
        <is>
          <t>~500K</t>
        </is>
      </c>
      <c r="G29" s="126">
        <f>IF(E28&gt;500000,400000,E28-G28)</f>
        <v/>
      </c>
      <c r="H29" s="127">
        <f>SUMIF('GMP Price List'!$A:$A,B28,'GMP Price List'!$E:$E)</f>
        <v/>
      </c>
      <c r="I29" s="128">
        <f>G29*H29/1000</f>
        <v/>
      </c>
    </row>
    <row r="30" ht="17.4" customHeight="1" s="121">
      <c r="B30" s="129" t="n"/>
      <c r="C30" s="129" t="n"/>
      <c r="D30" s="129" t="n"/>
      <c r="E30" s="129" t="n"/>
      <c r="F30" s="102" t="inlineStr">
        <is>
          <t>~1M</t>
        </is>
      </c>
      <c r="G30" s="126">
        <f>IF(E28&gt;1000000,500000,E28-G28-G29)</f>
        <v/>
      </c>
      <c r="H30" s="127">
        <f>SUMIF('GMP Price List'!$A:$A,B28,'GMP Price List'!$F:$F)</f>
        <v/>
      </c>
      <c r="I30" s="128">
        <f>G30*H30/1000</f>
        <v/>
      </c>
    </row>
    <row r="31" ht="17.4" customHeight="1" s="121">
      <c r="B31" s="129" t="n"/>
      <c r="C31" s="129" t="n"/>
      <c r="D31" s="129" t="n"/>
      <c r="E31" s="129" t="n"/>
      <c r="F31" s="102" t="inlineStr">
        <is>
          <t>~5M</t>
        </is>
      </c>
      <c r="G31" s="126">
        <f>IF(E28&gt;5000000,4000000,E28-G28-G29-G30)</f>
        <v/>
      </c>
      <c r="H31" s="127">
        <f>SUMIF('GMP Price List'!$A:$A,B28,'GMP Price List'!$G:$G)</f>
        <v/>
      </c>
      <c r="I31" s="128">
        <f>G31*H31/1000</f>
        <v/>
      </c>
    </row>
    <row r="32" ht="17.4" customHeight="1" s="121">
      <c r="B32" s="130" t="n"/>
      <c r="C32" s="130" t="n"/>
      <c r="D32" s="130" t="n"/>
      <c r="E32" s="130" t="n"/>
      <c r="F32" s="102" t="inlineStr">
        <is>
          <t>~10M</t>
        </is>
      </c>
      <c r="G32" s="126">
        <f>IF(E28-G28-G29-G30-G31&gt;0,E28-G28-G29-G30-G31,0)</f>
        <v/>
      </c>
      <c r="H32" s="127">
        <f>SUMIF('GMP Price List'!$A:$A,B28,'GMP Price List'!$H:$H)</f>
        <v/>
      </c>
      <c r="I32" s="128">
        <f>G32*H32/1000</f>
        <v/>
      </c>
    </row>
    <row r="33" ht="18" customHeight="1" s="121">
      <c r="B33" s="103" t="inlineStr">
        <is>
          <t>소계</t>
        </is>
      </c>
      <c r="C33" s="131" t="n"/>
      <c r="D33" s="131" t="n"/>
      <c r="E33" s="131" t="n"/>
      <c r="F33" s="43" t="n"/>
      <c r="G33" s="132">
        <f>SUM(G28:G32)</f>
        <v/>
      </c>
      <c r="H33" s="43" t="n"/>
      <c r="I33" s="133">
        <f>ROUND(SUM(I28:I32),2)</f>
        <v/>
      </c>
      <c r="J33" s="134" t="n"/>
    </row>
    <row r="34" ht="17.4" customHeight="1" s="121">
      <c r="B34" s="123" t="inlineStr">
        <is>
          <t>Autocomplete without Places Details - Per Session</t>
        </is>
      </c>
      <c r="C34" s="124" t="n">
        <v>0</v>
      </c>
      <c r="D34" s="125">
        <f>SUMIF('GMP Price List'!$A:$A,B34,'GMP Price List'!$C:$C)</f>
        <v/>
      </c>
      <c r="E34" s="102">
        <f>IF(C34-D34&gt;0,C34-D34,0)</f>
        <v/>
      </c>
      <c r="F34" s="102" t="inlineStr">
        <is>
          <t>0-100K</t>
        </is>
      </c>
      <c r="G34" s="126">
        <f>IF(E34&gt;100000,100000,E34)</f>
        <v/>
      </c>
      <c r="H34" s="127">
        <f>SUMIF('GMP Price List'!$A:$A,B34,'GMP Price List'!$D:$D)</f>
        <v/>
      </c>
      <c r="I34" s="128">
        <f>G34*H34/1000</f>
        <v/>
      </c>
    </row>
    <row r="35" ht="17.4" customHeight="1" s="121">
      <c r="B35" s="129" t="n"/>
      <c r="C35" s="129" t="n"/>
      <c r="D35" s="129" t="n"/>
      <c r="E35" s="129" t="n"/>
      <c r="F35" s="102" t="inlineStr">
        <is>
          <t>~500K</t>
        </is>
      </c>
      <c r="G35" s="126">
        <f>IF(E34&gt;500000,400000,E34-G34)</f>
        <v/>
      </c>
      <c r="H35" s="127">
        <f>SUMIF('GMP Price List'!$A:$A,B34,'GMP Price List'!$E:$E)</f>
        <v/>
      </c>
      <c r="I35" s="128">
        <f>G35*H35/1000</f>
        <v/>
      </c>
    </row>
    <row r="36" ht="17.4" customHeight="1" s="121">
      <c r="B36" s="129" t="n"/>
      <c r="C36" s="129" t="n"/>
      <c r="D36" s="129" t="n"/>
      <c r="E36" s="129" t="n"/>
      <c r="F36" s="102" t="inlineStr">
        <is>
          <t>~1M</t>
        </is>
      </c>
      <c r="G36" s="126">
        <f>IF(E34&gt;1000000,500000,E34-G34-G35)</f>
        <v/>
      </c>
      <c r="H36" s="127">
        <f>SUMIF('GMP Price List'!$A:$A,B34,'GMP Price List'!$F:$F)</f>
        <v/>
      </c>
      <c r="I36" s="128">
        <f>G36*H36/1000</f>
        <v/>
      </c>
    </row>
    <row r="37" ht="17.4" customHeight="1" s="121">
      <c r="B37" s="129" t="n"/>
      <c r="C37" s="129" t="n"/>
      <c r="D37" s="129" t="n"/>
      <c r="E37" s="129" t="n"/>
      <c r="F37" s="102" t="inlineStr">
        <is>
          <t>~5M</t>
        </is>
      </c>
      <c r="G37" s="126">
        <f>IF(E34&gt;5000000,4000000,E34-G34-G35-G36)</f>
        <v/>
      </c>
      <c r="H37" s="127">
        <f>SUMIF('GMP Price List'!$A:$A,B34,'GMP Price List'!$G:$G)</f>
        <v/>
      </c>
      <c r="I37" s="128">
        <f>G37*H37/1000</f>
        <v/>
      </c>
    </row>
    <row r="38" ht="17.4" customHeight="1" s="121">
      <c r="B38" s="130" t="n"/>
      <c r="C38" s="130" t="n"/>
      <c r="D38" s="130" t="n"/>
      <c r="E38" s="130" t="n"/>
      <c r="F38" s="102" t="inlineStr">
        <is>
          <t>~10M</t>
        </is>
      </c>
      <c r="G38" s="126">
        <f>IF(E34-G34-G35-G36-G37&gt;0,E34-G34-G35-G36-G37,0)</f>
        <v/>
      </c>
      <c r="H38" s="127">
        <f>SUMIF('GMP Price List'!$A:$A,B34,'GMP Price List'!$H:$H)</f>
        <v/>
      </c>
      <c r="I38" s="128">
        <f>G38*H38/1000</f>
        <v/>
      </c>
    </row>
    <row r="39" ht="17.4" customHeight="1" s="121">
      <c r="B39" s="103" t="inlineStr">
        <is>
          <t>소계</t>
        </is>
      </c>
      <c r="C39" s="131" t="n"/>
      <c r="D39" s="131" t="n"/>
      <c r="E39" s="131" t="n"/>
      <c r="F39" s="43" t="n"/>
      <c r="G39" s="132">
        <f>SUM(G34:G38)</f>
        <v/>
      </c>
      <c r="H39" s="43" t="n"/>
      <c r="I39" s="133">
        <f>ROUND(SUM(I34:I38),2)</f>
        <v/>
      </c>
      <c r="J39" s="134" t="n"/>
    </row>
    <row r="40" ht="17.4" customHeight="1" s="121">
      <c r="B40" s="123" t="inlineStr">
        <is>
          <t>Query Autocomplete - Per Request</t>
        </is>
      </c>
      <c r="C40" s="124" t="n">
        <v>0</v>
      </c>
      <c r="D40" s="125">
        <f>SUMIF('GMP Price List'!$A:$A,B40,'GMP Price List'!$C:$C)</f>
        <v/>
      </c>
      <c r="E40" s="102">
        <f>IF(C40-D40&gt;0,C40-D40,0)</f>
        <v/>
      </c>
      <c r="F40" s="102" t="inlineStr">
        <is>
          <t>0-100K</t>
        </is>
      </c>
      <c r="G40" s="126">
        <f>IF(E40&gt;100000,100000,E40)</f>
        <v/>
      </c>
      <c r="H40" s="127">
        <f>SUMIF('GMP Price List'!$A:$A,B40,'GMP Price List'!$D:$D)</f>
        <v/>
      </c>
      <c r="I40" s="128">
        <f>G40*H40/1000</f>
        <v/>
      </c>
    </row>
    <row r="41" ht="17.4" customHeight="1" s="121">
      <c r="B41" s="129" t="n"/>
      <c r="C41" s="129" t="n"/>
      <c r="D41" s="129" t="n"/>
      <c r="E41" s="129" t="n"/>
      <c r="F41" s="102" t="inlineStr">
        <is>
          <t>~500K</t>
        </is>
      </c>
      <c r="G41" s="126">
        <f>IF(E40&gt;500000,400000,E40-G40)</f>
        <v/>
      </c>
      <c r="H41" s="127">
        <f>SUMIF('GMP Price List'!$A:$A,B40,'GMP Price List'!$E:$E)</f>
        <v/>
      </c>
      <c r="I41" s="128">
        <f>G41*H41/1000</f>
        <v/>
      </c>
    </row>
    <row r="42" ht="17.4" customHeight="1" s="121">
      <c r="B42" s="129" t="n"/>
      <c r="C42" s="129" t="n"/>
      <c r="D42" s="129" t="n"/>
      <c r="E42" s="129" t="n"/>
      <c r="F42" s="102" t="inlineStr">
        <is>
          <t>~1M</t>
        </is>
      </c>
      <c r="G42" s="126">
        <f>IF(E40&gt;1000000,500000,E40-G40-G41)</f>
        <v/>
      </c>
      <c r="H42" s="127">
        <f>SUMIF('GMP Price List'!$A:$A,B40,'GMP Price List'!$F:$F)</f>
        <v/>
      </c>
      <c r="I42" s="128">
        <f>G42*H42/1000</f>
        <v/>
      </c>
    </row>
    <row r="43" ht="17.4" customHeight="1" s="121">
      <c r="B43" s="129" t="n"/>
      <c r="C43" s="129" t="n"/>
      <c r="D43" s="129" t="n"/>
      <c r="E43" s="129" t="n"/>
      <c r="F43" s="102" t="inlineStr">
        <is>
          <t>~5M</t>
        </is>
      </c>
      <c r="G43" s="126">
        <f>IF(E40&gt;5000000,4000000,E40-G40-G41-G42)</f>
        <v/>
      </c>
      <c r="H43" s="127">
        <f>SUMIF('GMP Price List'!$A:$A,B40,'GMP Price List'!$G:$G)</f>
        <v/>
      </c>
      <c r="I43" s="128">
        <f>G43*H43/1000</f>
        <v/>
      </c>
    </row>
    <row r="44" ht="17.4" customHeight="1" s="121">
      <c r="B44" s="130" t="n"/>
      <c r="C44" s="130" t="n"/>
      <c r="D44" s="130" t="n"/>
      <c r="E44" s="130" t="n"/>
      <c r="F44" s="102" t="inlineStr">
        <is>
          <t>~10M</t>
        </is>
      </c>
      <c r="G44" s="126">
        <f>IF(E40-G40-G41-G42-G43&gt;0,E40-G40-G41-G42-G43,0)</f>
        <v/>
      </c>
      <c r="H44" s="127">
        <f>SUMIF('GMP Price List'!$A:$A,B40,'GMP Price List'!$H:$H)</f>
        <v/>
      </c>
      <c r="I44" s="128">
        <f>G44*H44/1000</f>
        <v/>
      </c>
    </row>
    <row r="45" ht="17.4" customHeight="1" s="121">
      <c r="B45" s="103" t="inlineStr">
        <is>
          <t>소계</t>
        </is>
      </c>
      <c r="C45" s="131" t="n"/>
      <c r="D45" s="131" t="n"/>
      <c r="E45" s="131" t="n"/>
      <c r="F45" s="43" t="n"/>
      <c r="G45" s="132">
        <f>SUM(G40:G44)</f>
        <v/>
      </c>
      <c r="H45" s="43" t="n"/>
      <c r="I45" s="133">
        <f>ROUND(SUM(I40:I44),2)</f>
        <v/>
      </c>
      <c r="J45" s="134" t="n"/>
    </row>
    <row r="46" ht="17.4" customHeight="1" s="121">
      <c r="B46" s="123" t="inlineStr">
        <is>
          <t>Places Details</t>
        </is>
      </c>
      <c r="C46" s="124" t="n">
        <v>0</v>
      </c>
      <c r="D46" s="125">
        <f>SUMIF('GMP Price List'!$A:$A,B46,'GMP Price List'!$C:$C)</f>
        <v/>
      </c>
      <c r="E46" s="102">
        <f>IF(C46-D46&gt;0,C46-D46,0)</f>
        <v/>
      </c>
      <c r="F46" s="102" t="inlineStr">
        <is>
          <t>0-100K</t>
        </is>
      </c>
      <c r="G46" s="126">
        <f>IF(E46&gt;100000,100000,E46)</f>
        <v/>
      </c>
      <c r="H46" s="127">
        <f>SUMIF('GMP Price List'!$A:$A,B46,'GMP Price List'!$D:$D)</f>
        <v/>
      </c>
      <c r="I46" s="128">
        <f>G46*H46/1000</f>
        <v/>
      </c>
    </row>
    <row r="47" ht="17.4" customHeight="1" s="121">
      <c r="B47" s="129" t="n"/>
      <c r="C47" s="129" t="n"/>
      <c r="D47" s="129" t="n"/>
      <c r="E47" s="129" t="n"/>
      <c r="F47" s="102" t="inlineStr">
        <is>
          <t>~500K</t>
        </is>
      </c>
      <c r="G47" s="126">
        <f>IF(E46&gt;500000,400000,E46-G46)</f>
        <v/>
      </c>
      <c r="H47" s="127">
        <f>SUMIF('GMP Price List'!$A:$A,B46,'GMP Price List'!$E:$E)</f>
        <v/>
      </c>
      <c r="I47" s="128">
        <f>G47*H47/1000</f>
        <v/>
      </c>
    </row>
    <row r="48" ht="17.4" customHeight="1" s="121">
      <c r="B48" s="129" t="n"/>
      <c r="C48" s="129" t="n"/>
      <c r="D48" s="129" t="n"/>
      <c r="E48" s="129" t="n"/>
      <c r="F48" s="102" t="inlineStr">
        <is>
          <t>~1M</t>
        </is>
      </c>
      <c r="G48" s="126">
        <f>IF(E46&gt;1000000,500000,E46-G46-G47)</f>
        <v/>
      </c>
      <c r="H48" s="127">
        <f>SUMIF('GMP Price List'!$A:$A,B46,'GMP Price List'!$F:$F)</f>
        <v/>
      </c>
      <c r="I48" s="128">
        <f>G48*H48/1000</f>
        <v/>
      </c>
    </row>
    <row r="49" ht="17.4" customHeight="1" s="121">
      <c r="B49" s="129" t="n"/>
      <c r="C49" s="129" t="n"/>
      <c r="D49" s="129" t="n"/>
      <c r="E49" s="129" t="n"/>
      <c r="F49" s="102" t="inlineStr">
        <is>
          <t>~5M</t>
        </is>
      </c>
      <c r="G49" s="126">
        <f>IF(E46&gt;5000000,4000000,E46-G46-G47-G48)</f>
        <v/>
      </c>
      <c r="H49" s="127">
        <f>SUMIF('GMP Price List'!$A:$A,B46,'GMP Price List'!$G:$G)</f>
        <v/>
      </c>
      <c r="I49" s="128">
        <f>G49*H49/1000</f>
        <v/>
      </c>
    </row>
    <row r="50" ht="17.4" customHeight="1" s="121">
      <c r="B50" s="130" t="n"/>
      <c r="C50" s="130" t="n"/>
      <c r="D50" s="130" t="n"/>
      <c r="E50" s="130" t="n"/>
      <c r="F50" s="102" t="inlineStr">
        <is>
          <t>~10M</t>
        </is>
      </c>
      <c r="G50" s="126">
        <f>IF(E46-G46-G47-G48-G49&gt;0,E46-G46-G47-G48-G49,0)</f>
        <v/>
      </c>
      <c r="H50" s="127">
        <f>SUMIF('GMP Price List'!$A:$A,B46,'GMP Price List'!$H:$H)</f>
        <v/>
      </c>
      <c r="I50" s="128">
        <f>G50*H50/1000</f>
        <v/>
      </c>
    </row>
    <row r="51" ht="17.4" customHeight="1" s="121">
      <c r="B51" s="103" t="inlineStr">
        <is>
          <t>소계</t>
        </is>
      </c>
      <c r="C51" s="131" t="n"/>
      <c r="D51" s="131" t="n"/>
      <c r="E51" s="131" t="n"/>
      <c r="F51" s="43" t="n"/>
      <c r="G51" s="132">
        <f>SUM(G46:G50)</f>
        <v/>
      </c>
      <c r="H51" s="43" t="n"/>
      <c r="I51" s="133">
        <f>ROUND(SUM(I46:I50),2)</f>
        <v/>
      </c>
      <c r="J51" s="134" t="n"/>
    </row>
    <row r="52" ht="17.4" customHeight="1" s="121">
      <c r="B52" s="123" t="inlineStr">
        <is>
          <t>Basic Data</t>
        </is>
      </c>
      <c r="C52" s="124" t="n">
        <v>0</v>
      </c>
      <c r="D52" s="125">
        <f>SUMIF('GMP Price List'!$A:$A,B52,'GMP Price List'!$C:$C)</f>
        <v/>
      </c>
      <c r="E52" s="102">
        <f>IF(C52-D52&gt;0,C52-D52,0)</f>
        <v/>
      </c>
      <c r="F52" s="102" t="inlineStr">
        <is>
          <t>0-100K</t>
        </is>
      </c>
      <c r="G52" s="126">
        <f>IF(E52&gt;100000,100000,E52)</f>
        <v/>
      </c>
      <c r="H52" s="127">
        <f>SUMIF('GMP Price List'!$A:$A,B52,'GMP Price List'!$D:$D)</f>
        <v/>
      </c>
      <c r="I52" s="128">
        <f>G52*H52/1000</f>
        <v/>
      </c>
    </row>
    <row r="53" ht="17.4" customHeight="1" s="121">
      <c r="B53" s="129" t="n"/>
      <c r="C53" s="129" t="n"/>
      <c r="D53" s="129" t="n"/>
      <c r="E53" s="129" t="n"/>
      <c r="F53" s="102" t="inlineStr">
        <is>
          <t>~500K</t>
        </is>
      </c>
      <c r="G53" s="126">
        <f>IF(E52&gt;500000,400000,E52-G52)</f>
        <v/>
      </c>
      <c r="H53" s="127">
        <f>SUMIF('GMP Price List'!$A:$A,B52,'GMP Price List'!$E:$E)</f>
        <v/>
      </c>
      <c r="I53" s="128">
        <f>G53*H53/1000</f>
        <v/>
      </c>
    </row>
    <row r="54" ht="17.4" customHeight="1" s="121">
      <c r="B54" s="129" t="n"/>
      <c r="C54" s="129" t="n"/>
      <c r="D54" s="129" t="n"/>
      <c r="E54" s="129" t="n"/>
      <c r="F54" s="102" t="inlineStr">
        <is>
          <t>~1M</t>
        </is>
      </c>
      <c r="G54" s="126">
        <f>IF(E52&gt;1000000,500000,E52-G52-G53)</f>
        <v/>
      </c>
      <c r="H54" s="127">
        <f>SUMIF('GMP Price List'!$A:$A,B52,'GMP Price List'!$F:$F)</f>
        <v/>
      </c>
      <c r="I54" s="128">
        <f>G54*H54/1000</f>
        <v/>
      </c>
    </row>
    <row r="55" ht="17.4" customHeight="1" s="121">
      <c r="B55" s="129" t="n"/>
      <c r="C55" s="129" t="n"/>
      <c r="D55" s="129" t="n"/>
      <c r="E55" s="129" t="n"/>
      <c r="F55" s="102" t="inlineStr">
        <is>
          <t>~5M</t>
        </is>
      </c>
      <c r="G55" s="126">
        <f>IF(E52&gt;5000000,4000000,E52-G52-G53-G54)</f>
        <v/>
      </c>
      <c r="H55" s="127">
        <f>SUMIF('GMP Price List'!$A:$A,B52,'GMP Price List'!$G:$G)</f>
        <v/>
      </c>
      <c r="I55" s="128">
        <f>G55*H55/1000</f>
        <v/>
      </c>
    </row>
    <row r="56" ht="17.4" customHeight="1" s="121">
      <c r="B56" s="130" t="n"/>
      <c r="C56" s="130" t="n"/>
      <c r="D56" s="130" t="n"/>
      <c r="E56" s="130" t="n"/>
      <c r="F56" s="102" t="inlineStr">
        <is>
          <t>~10M</t>
        </is>
      </c>
      <c r="G56" s="126">
        <f>IF(E52-G52-G53-G54-G55&gt;0,E52-G52-G53-G54-G55,0)</f>
        <v/>
      </c>
      <c r="H56" s="127">
        <f>SUMIF('GMP Price List'!$A:$A,B52,'GMP Price List'!$H:$H)</f>
        <v/>
      </c>
      <c r="I56" s="128">
        <f>G56*H56/1000</f>
        <v/>
      </c>
    </row>
    <row r="57" ht="17.4" customHeight="1" s="121">
      <c r="B57" s="103" t="inlineStr">
        <is>
          <t>소계</t>
        </is>
      </c>
      <c r="C57" s="131" t="n"/>
      <c r="D57" s="131" t="n"/>
      <c r="E57" s="131" t="n"/>
      <c r="F57" s="43" t="n"/>
      <c r="G57" s="132">
        <f>SUM(G52:G56)</f>
        <v/>
      </c>
      <c r="H57" s="43" t="n"/>
      <c r="I57" s="133">
        <f>ROUND(SUM(I52:I56),2)</f>
        <v/>
      </c>
      <c r="J57" s="134" t="n"/>
    </row>
    <row r="58" ht="17.4" customHeight="1" s="121">
      <c r="B58" s="123" t="inlineStr">
        <is>
          <t>Contact Data</t>
        </is>
      </c>
      <c r="C58" s="124" t="n">
        <v>0</v>
      </c>
      <c r="D58" s="125">
        <f>SUMIF('GMP Price List'!$A:$A,B58,'GMP Price List'!$C:$C)</f>
        <v/>
      </c>
      <c r="E58" s="102">
        <f>IF(C58-D58&gt;0,C58-D58,0)</f>
        <v/>
      </c>
      <c r="F58" s="102" t="inlineStr">
        <is>
          <t>0-100K</t>
        </is>
      </c>
      <c r="G58" s="126">
        <f>IF(E58&gt;100000,100000,E58)</f>
        <v/>
      </c>
      <c r="H58" s="127">
        <f>SUMIF('GMP Price List'!$A:$A,B58,'GMP Price List'!$D:$D)</f>
        <v/>
      </c>
      <c r="I58" s="128">
        <f>G58*H58/1000</f>
        <v/>
      </c>
    </row>
    <row r="59" ht="17.4" customHeight="1" s="121">
      <c r="B59" s="129" t="n"/>
      <c r="C59" s="129" t="n"/>
      <c r="D59" s="129" t="n"/>
      <c r="E59" s="129" t="n"/>
      <c r="F59" s="102" t="inlineStr">
        <is>
          <t>~500K</t>
        </is>
      </c>
      <c r="G59" s="126">
        <f>IF(E58&gt;500000,400000,E58-G58)</f>
        <v/>
      </c>
      <c r="H59" s="127">
        <f>SUMIF('GMP Price List'!$A:$A,B58,'GMP Price List'!$E:$E)</f>
        <v/>
      </c>
      <c r="I59" s="128">
        <f>G59*H59/1000</f>
        <v/>
      </c>
    </row>
    <row r="60" ht="17.4" customHeight="1" s="121">
      <c r="B60" s="129" t="n"/>
      <c r="C60" s="129" t="n"/>
      <c r="D60" s="129" t="n"/>
      <c r="E60" s="129" t="n"/>
      <c r="F60" s="102" t="inlineStr">
        <is>
          <t>~1M</t>
        </is>
      </c>
      <c r="G60" s="126">
        <f>IF(E58&gt;1000000,500000,E58-G58-G59)</f>
        <v/>
      </c>
      <c r="H60" s="127">
        <f>SUMIF('GMP Price List'!$A:$A,B58,'GMP Price List'!$F:$F)</f>
        <v/>
      </c>
      <c r="I60" s="128">
        <f>G60*H60/1000</f>
        <v/>
      </c>
    </row>
    <row r="61" ht="17.4" customHeight="1" s="121">
      <c r="B61" s="129" t="n"/>
      <c r="C61" s="129" t="n"/>
      <c r="D61" s="129" t="n"/>
      <c r="E61" s="129" t="n"/>
      <c r="F61" s="102" t="inlineStr">
        <is>
          <t>~5M</t>
        </is>
      </c>
      <c r="G61" s="126">
        <f>IF(E58&gt;5000000,4000000,E58-G58-G59-G60)</f>
        <v/>
      </c>
      <c r="H61" s="127">
        <f>SUMIF('GMP Price List'!$A:$A,B58,'GMP Price List'!$G:$G)</f>
        <v/>
      </c>
      <c r="I61" s="128">
        <f>G61*H61/1000</f>
        <v/>
      </c>
    </row>
    <row r="62" ht="17.4" customHeight="1" s="121">
      <c r="B62" s="130" t="n"/>
      <c r="C62" s="130" t="n"/>
      <c r="D62" s="130" t="n"/>
      <c r="E62" s="130" t="n"/>
      <c r="F62" s="102" t="inlineStr">
        <is>
          <t>~10M</t>
        </is>
      </c>
      <c r="G62" s="126">
        <f>IF(E58-G58-G59-G60-G61&gt;0,E58-G58-G59-G60-G61,0)</f>
        <v/>
      </c>
      <c r="H62" s="127">
        <f>SUMIF('GMP Price List'!$A:$A,B58,'GMP Price List'!$H:$H)</f>
        <v/>
      </c>
      <c r="I62" s="128">
        <f>G62*H62/1000</f>
        <v/>
      </c>
    </row>
    <row r="63" ht="17.4" customHeight="1" s="121">
      <c r="B63" s="103" t="inlineStr">
        <is>
          <t>소계</t>
        </is>
      </c>
      <c r="C63" s="131" t="n"/>
      <c r="D63" s="131" t="n"/>
      <c r="E63" s="131" t="n"/>
      <c r="F63" s="43" t="n"/>
      <c r="G63" s="132">
        <f>SUM(G58:G62)</f>
        <v/>
      </c>
      <c r="H63" s="43" t="n"/>
      <c r="I63" s="133">
        <f>ROUND(SUM(I58:I62),2)</f>
        <v/>
      </c>
      <c r="J63" s="134" t="n"/>
    </row>
    <row r="64" ht="17.4" customHeight="1" s="121">
      <c r="B64" s="123" t="inlineStr">
        <is>
          <t>Atmosphere Data</t>
        </is>
      </c>
      <c r="C64" s="124" t="n">
        <v>0</v>
      </c>
      <c r="D64" s="125">
        <f>SUMIF('GMP Price List'!$A:$A,B64,'GMP Price List'!$C:$C)</f>
        <v/>
      </c>
      <c r="E64" s="102">
        <f>IF(C64-D64&gt;0,C64-D64,0)</f>
        <v/>
      </c>
      <c r="F64" s="102" t="inlineStr">
        <is>
          <t>0-100K</t>
        </is>
      </c>
      <c r="G64" s="126">
        <f>IF(E64&gt;100000,100000,E64)</f>
        <v/>
      </c>
      <c r="H64" s="127">
        <f>SUMIF('GMP Price List'!$A:$A,B64,'GMP Price List'!$D:$D)</f>
        <v/>
      </c>
      <c r="I64" s="128">
        <f>G64*H64/1000</f>
        <v/>
      </c>
    </row>
    <row r="65" ht="17.4" customHeight="1" s="121">
      <c r="B65" s="129" t="n"/>
      <c r="C65" s="129" t="n"/>
      <c r="D65" s="129" t="n"/>
      <c r="E65" s="129" t="n"/>
      <c r="F65" s="102" t="inlineStr">
        <is>
          <t>~500K</t>
        </is>
      </c>
      <c r="G65" s="126">
        <f>IF(E64&gt;500000,400000,E64-G64)</f>
        <v/>
      </c>
      <c r="H65" s="127">
        <f>SUMIF('GMP Price List'!$A:$A,B64,'GMP Price List'!$E:$E)</f>
        <v/>
      </c>
      <c r="I65" s="128">
        <f>G65*H65/1000</f>
        <v/>
      </c>
    </row>
    <row r="66" ht="17.4" customHeight="1" s="121">
      <c r="B66" s="129" t="n"/>
      <c r="C66" s="129" t="n"/>
      <c r="D66" s="129" t="n"/>
      <c r="E66" s="129" t="n"/>
      <c r="F66" s="102" t="inlineStr">
        <is>
          <t>~1M</t>
        </is>
      </c>
      <c r="G66" s="126">
        <f>IF(E64&gt;1000000,500000,E64-G64-G65)</f>
        <v/>
      </c>
      <c r="H66" s="127">
        <f>SUMIF('GMP Price List'!$A:$A,B64,'GMP Price List'!$F:$F)</f>
        <v/>
      </c>
      <c r="I66" s="128">
        <f>G66*H66/1000</f>
        <v/>
      </c>
    </row>
    <row r="67" ht="17.4" customHeight="1" s="121">
      <c r="B67" s="129" t="n"/>
      <c r="C67" s="129" t="n"/>
      <c r="D67" s="129" t="n"/>
      <c r="E67" s="129" t="n"/>
      <c r="F67" s="102" t="inlineStr">
        <is>
          <t>~5M</t>
        </is>
      </c>
      <c r="G67" s="126">
        <f>IF(E64&gt;5000000,4000000,E64-G64-G65-G66)</f>
        <v/>
      </c>
      <c r="H67" s="127">
        <f>SUMIF('GMP Price List'!$A:$A,B64,'GMP Price List'!$G:$G)</f>
        <v/>
      </c>
      <c r="I67" s="128">
        <f>G67*H67/1000</f>
        <v/>
      </c>
    </row>
    <row r="68" ht="17.4" customHeight="1" s="121">
      <c r="B68" s="130" t="n"/>
      <c r="C68" s="130" t="n"/>
      <c r="D68" s="130" t="n"/>
      <c r="E68" s="130" t="n"/>
      <c r="F68" s="102" t="inlineStr">
        <is>
          <t>~10M</t>
        </is>
      </c>
      <c r="G68" s="126">
        <f>IF(E64-G64-G65-G66-G67&gt;0,E64-G64-G65-G66-G67,0)</f>
        <v/>
      </c>
      <c r="H68" s="127">
        <f>SUMIF('GMP Price List'!$A:$A,B64,'GMP Price List'!$H:$H)</f>
        <v/>
      </c>
      <c r="I68" s="128">
        <f>G68*H68/1000</f>
        <v/>
      </c>
    </row>
    <row r="69" ht="17.4" customHeight="1" s="121">
      <c r="B69" s="103" t="inlineStr">
        <is>
          <t>소계</t>
        </is>
      </c>
      <c r="C69" s="131" t="n"/>
      <c r="D69" s="131" t="n"/>
      <c r="E69" s="131" t="n"/>
      <c r="F69" s="43" t="n"/>
      <c r="G69" s="132">
        <f>SUM(G64:G68)</f>
        <v/>
      </c>
      <c r="H69" s="43" t="n"/>
      <c r="I69" s="133">
        <f>ROUND(SUM(I64:I68),2)</f>
        <v/>
      </c>
      <c r="J69" s="134" t="n"/>
    </row>
    <row r="70" ht="17.4" customHeight="1" s="121">
      <c r="B70" s="123" t="inlineStr">
        <is>
          <t>Places - Text Search</t>
        </is>
      </c>
      <c r="C70" s="124" t="n">
        <v>0</v>
      </c>
      <c r="D70" s="125">
        <f>SUMIF('GMP Price List'!$A:$A,B70,'GMP Price List'!$C:$C)</f>
        <v/>
      </c>
      <c r="E70" s="102">
        <f>IF(C70-D70&gt;0,C70-D70,0)</f>
        <v/>
      </c>
      <c r="F70" s="102" t="inlineStr">
        <is>
          <t>0-100K</t>
        </is>
      </c>
      <c r="G70" s="126">
        <f>IF(E70&gt;100000,100000,E70)</f>
        <v/>
      </c>
      <c r="H70" s="127">
        <f>SUMIF('GMP Price List'!$A:$A,B70,'GMP Price List'!$D:$D)</f>
        <v/>
      </c>
      <c r="I70" s="128">
        <f>G70*H70/1000</f>
        <v/>
      </c>
    </row>
    <row r="71" ht="17.4" customHeight="1" s="121">
      <c r="B71" s="129" t="n"/>
      <c r="C71" s="129" t="n"/>
      <c r="D71" s="129" t="n"/>
      <c r="E71" s="129" t="n"/>
      <c r="F71" s="102" t="inlineStr">
        <is>
          <t>~500K</t>
        </is>
      </c>
      <c r="G71" s="126">
        <f>IF(E70&gt;500000,400000,E70-G70)</f>
        <v/>
      </c>
      <c r="H71" s="127">
        <f>SUMIF('GMP Price List'!$A:$A,B70,'GMP Price List'!$E:$E)</f>
        <v/>
      </c>
      <c r="I71" s="128">
        <f>G71*H71/1000</f>
        <v/>
      </c>
    </row>
    <row r="72" ht="17.4" customHeight="1" s="121">
      <c r="B72" s="129" t="n"/>
      <c r="C72" s="129" t="n"/>
      <c r="D72" s="129" t="n"/>
      <c r="E72" s="129" t="n"/>
      <c r="F72" s="102" t="inlineStr">
        <is>
          <t>~1M</t>
        </is>
      </c>
      <c r="G72" s="126">
        <f>IF(E70&gt;1000000,500000,E70-G70-G71)</f>
        <v/>
      </c>
      <c r="H72" s="127">
        <f>SUMIF('GMP Price List'!$A:$A,B70,'GMP Price List'!$F:$F)</f>
        <v/>
      </c>
      <c r="I72" s="128">
        <f>G72*H72/1000</f>
        <v/>
      </c>
    </row>
    <row r="73" ht="17.4" customHeight="1" s="121">
      <c r="B73" s="129" t="n"/>
      <c r="C73" s="129" t="n"/>
      <c r="D73" s="129" t="n"/>
      <c r="E73" s="129" t="n"/>
      <c r="F73" s="102" t="inlineStr">
        <is>
          <t>~5M</t>
        </is>
      </c>
      <c r="G73" s="126">
        <f>IF(E70&gt;5000000,4000000,E70-G70-G71-G72)</f>
        <v/>
      </c>
      <c r="H73" s="127">
        <f>SUMIF('GMP Price List'!$A:$A,B70,'GMP Price List'!$G:$G)</f>
        <v/>
      </c>
      <c r="I73" s="128">
        <f>G73*H73/1000</f>
        <v/>
      </c>
    </row>
    <row r="74" ht="17.4" customHeight="1" s="121">
      <c r="B74" s="130" t="n"/>
      <c r="C74" s="130" t="n"/>
      <c r="D74" s="130" t="n"/>
      <c r="E74" s="130" t="n"/>
      <c r="F74" s="102" t="inlineStr">
        <is>
          <t>~10M</t>
        </is>
      </c>
      <c r="G74" s="126">
        <f>IF(E70-G70-G71-G72-G73&gt;0,E70-G70-G71-G72-G73,0)</f>
        <v/>
      </c>
      <c r="H74" s="127">
        <f>SUMIF('GMP Price List'!$A:$A,B70,'GMP Price List'!$H:$H)</f>
        <v/>
      </c>
      <c r="I74" s="128">
        <f>G74*H74/1000</f>
        <v/>
      </c>
    </row>
    <row r="75" ht="17.4" customHeight="1" s="121">
      <c r="B75" s="103" t="inlineStr">
        <is>
          <t>소계</t>
        </is>
      </c>
      <c r="C75" s="131" t="n"/>
      <c r="D75" s="131" t="n"/>
      <c r="E75" s="131" t="n"/>
      <c r="F75" s="43" t="n"/>
      <c r="G75" s="132">
        <f>SUM(G70:G74)</f>
        <v/>
      </c>
      <c r="H75" s="43" t="n"/>
      <c r="I75" s="133">
        <f>ROUND(SUM(I70:I74),2)</f>
        <v/>
      </c>
      <c r="J75" s="134" t="n"/>
    </row>
    <row r="76" ht="17.4" customHeight="1" s="121">
      <c r="B76" s="123" t="inlineStr">
        <is>
          <t>Find Place</t>
        </is>
      </c>
      <c r="C76" s="124" t="n">
        <v>0</v>
      </c>
      <c r="D76" s="125">
        <f>SUMIF('GMP Price List'!$A:$A,B76,'GMP Price List'!$C:$C)</f>
        <v/>
      </c>
      <c r="E76" s="102">
        <f>IF(C76-D76&gt;0,C76-D76,0)</f>
        <v/>
      </c>
      <c r="F76" s="102" t="inlineStr">
        <is>
          <t>0-100K</t>
        </is>
      </c>
      <c r="G76" s="126">
        <f>IF(E76&gt;100000,100000,E76)</f>
        <v/>
      </c>
      <c r="H76" s="127">
        <f>SUMIF('GMP Price List'!$A:$A,B76,'GMP Price List'!$D:$D)</f>
        <v/>
      </c>
      <c r="I76" s="128">
        <f>G76*H76/1000</f>
        <v/>
      </c>
    </row>
    <row r="77" ht="17.4" customHeight="1" s="121">
      <c r="B77" s="129" t="n"/>
      <c r="C77" s="129" t="n"/>
      <c r="D77" s="129" t="n"/>
      <c r="E77" s="129" t="n"/>
      <c r="F77" s="102" t="inlineStr">
        <is>
          <t>~500K</t>
        </is>
      </c>
      <c r="G77" s="126">
        <f>IF(E76&gt;500000,400000,E76-G76)</f>
        <v/>
      </c>
      <c r="H77" s="127">
        <f>SUMIF('GMP Price List'!$A:$A,B76,'GMP Price List'!$E:$E)</f>
        <v/>
      </c>
      <c r="I77" s="128">
        <f>G77*H77/1000</f>
        <v/>
      </c>
    </row>
    <row r="78" ht="17.4" customHeight="1" s="121">
      <c r="B78" s="129" t="n"/>
      <c r="C78" s="129" t="n"/>
      <c r="D78" s="129" t="n"/>
      <c r="E78" s="129" t="n"/>
      <c r="F78" s="102" t="inlineStr">
        <is>
          <t>~1M</t>
        </is>
      </c>
      <c r="G78" s="126">
        <f>IF(E76&gt;1000000,500000,E76-G76-G77)</f>
        <v/>
      </c>
      <c r="H78" s="127">
        <f>SUMIF('GMP Price List'!$A:$A,B76,'GMP Price List'!$F:$F)</f>
        <v/>
      </c>
      <c r="I78" s="128">
        <f>G78*H78/1000</f>
        <v/>
      </c>
    </row>
    <row r="79" ht="17.4" customHeight="1" s="121">
      <c r="B79" s="129" t="n"/>
      <c r="C79" s="129" t="n"/>
      <c r="D79" s="129" t="n"/>
      <c r="E79" s="129" t="n"/>
      <c r="F79" s="102" t="inlineStr">
        <is>
          <t>~5M</t>
        </is>
      </c>
      <c r="G79" s="126">
        <f>IF(E76&gt;5000000,4000000,E76-G76-G77-G78)</f>
        <v/>
      </c>
      <c r="H79" s="127">
        <f>SUMIF('GMP Price List'!$A:$A,B76,'GMP Price List'!$G:$G)</f>
        <v/>
      </c>
      <c r="I79" s="128">
        <f>G79*H79/1000</f>
        <v/>
      </c>
    </row>
    <row r="80" ht="17.4" customHeight="1" s="121">
      <c r="B80" s="130" t="n"/>
      <c r="C80" s="130" t="n"/>
      <c r="D80" s="130" t="n"/>
      <c r="E80" s="130" t="n"/>
      <c r="F80" s="102" t="inlineStr">
        <is>
          <t>~10M</t>
        </is>
      </c>
      <c r="G80" s="126">
        <f>IF(E76-G76-G77-G78-G79&gt;0,E76-G76-G77-G78-G79,0)</f>
        <v/>
      </c>
      <c r="H80" s="127">
        <f>SUMIF('GMP Price List'!$A:$A,B76,'GMP Price List'!$H:$H)</f>
        <v/>
      </c>
      <c r="I80" s="128">
        <f>G80*H80/1000</f>
        <v/>
      </c>
    </row>
    <row r="81" ht="17.4" customHeight="1" s="121">
      <c r="B81" s="103" t="inlineStr">
        <is>
          <t>소계</t>
        </is>
      </c>
      <c r="C81" s="131" t="n"/>
      <c r="D81" s="131" t="n"/>
      <c r="E81" s="131" t="n"/>
      <c r="F81" s="43" t="n"/>
      <c r="G81" s="132">
        <f>SUM(G76:G80)</f>
        <v/>
      </c>
      <c r="H81" s="43" t="n"/>
      <c r="I81" s="133">
        <f>ROUND(SUM(I76:I80),2)</f>
        <v/>
      </c>
      <c r="J81" s="134" t="n"/>
    </row>
    <row r="82" hidden="1" ht="19.95" customHeight="1" s="121">
      <c r="B82" s="106" t="inlineStr">
        <is>
          <t>월최소사용비용(KRW)</t>
        </is>
      </c>
      <c r="C82" s="131" t="n"/>
      <c r="D82" s="131" t="n"/>
      <c r="E82" s="131" t="n"/>
      <c r="F82" s="131" t="n"/>
      <c r="G82" s="131" t="n"/>
      <c r="H82" s="122" t="n"/>
      <c r="I82" s="135" t="n">
        <v>500000</v>
      </c>
    </row>
    <row r="83" ht="19.95" customHeight="1" s="121">
      <c r="B83" s="106" t="inlineStr">
        <is>
          <t>합              계(USD)</t>
        </is>
      </c>
      <c r="C83" s="131" t="n"/>
      <c r="D83" s="131" t="n"/>
      <c r="E83" s="131" t="n"/>
      <c r="F83" s="131" t="n"/>
      <c r="G83" s="131" t="n"/>
      <c r="H83" s="122" t="n"/>
      <c r="I83" s="136">
        <f>ROUND(SUM(I81,I75,I69,I63,I57,I51,I45,I39,I33,I27,I15,I21),0)</f>
        <v/>
      </c>
    </row>
    <row r="84" ht="19.95" customHeight="1" s="121">
      <c r="B84" s="106" t="inlineStr">
        <is>
          <t>환              율(하나은행 2026.03.31 최종 송금환율 기준)</t>
        </is>
      </c>
      <c r="C84" s="131" t="n"/>
      <c r="D84" s="131" t="n"/>
      <c r="E84" s="131" t="n"/>
      <c r="F84" s="131" t="n"/>
      <c r="G84" s="131" t="n"/>
      <c r="H84" s="122" t="n"/>
      <c r="I84" s="137" t="n">
        <v>1525.3</v>
      </c>
    </row>
    <row r="85" ht="30" customHeight="1" s="121">
      <c r="B85" s="107" t="inlineStr">
        <is>
          <t>청  구  금  액(KRW)</t>
        </is>
      </c>
      <c r="C85" s="131" t="n"/>
      <c r="D85" s="131" t="n"/>
      <c r="E85" s="131" t="n"/>
      <c r="F85" s="131" t="n"/>
      <c r="G85" s="131" t="n"/>
      <c r="H85" s="122" t="n"/>
      <c r="I85" s="138">
        <f>ROUND(I83*I84,0)</f>
        <v/>
      </c>
    </row>
    <row r="86" ht="13.8" customHeight="1" s="121">
      <c r="I86" s="51" t="inlineStr">
        <is>
          <t>(부가세 별도)</t>
        </is>
      </c>
    </row>
    <row r="87" ht="15.6" customHeight="1" s="121">
      <c r="B87" s="1" t="n"/>
      <c r="D87" s="38" t="n"/>
      <c r="H87" s="90" t="inlineStr">
        <is>
          <t>SPH Inc. (www.sphinfo.co.kr)
COO Kyungsoo Yoo
Tel : 010-3266-6272, Email : ksyoo@sphinfo.co.kr
서울시 마포구 마포대로 92, 효성해링턴스퀘어 A동 3층</t>
        </is>
      </c>
    </row>
    <row r="88" ht="15.6" customHeight="1" s="121">
      <c r="C88" s="38" t="n"/>
      <c r="D88" s="38" t="n"/>
    </row>
    <row r="89">
      <c r="B89" s="38" t="n"/>
      <c r="C89" s="38" t="n"/>
      <c r="D89" s="38" t="n"/>
    </row>
    <row r="90">
      <c r="B90" s="38" t="n"/>
      <c r="C90" s="38" t="n"/>
      <c r="D90" s="38" t="n"/>
    </row>
    <row r="91">
      <c r="B91" s="38" t="n"/>
      <c r="C91" s="38" t="n"/>
      <c r="D91" s="38" t="n"/>
    </row>
    <row r="94"/>
    <row r="100"/>
    <row r="106"/>
    <row r="112"/>
    <row r="118"/>
    <row r="124"/>
    <row r="130"/>
    <row r="136"/>
    <row r="142"/>
    <row r="148"/>
    <row r="154"/>
    <row r="160"/>
    <row r="166"/>
    <row r="172"/>
    <row r="178"/>
    <row r="184"/>
    <row r="190"/>
    <row r="196"/>
    <row r="202"/>
    <row r="208"/>
    <row r="214"/>
    <row r="220"/>
    <row r="226"/>
    <row r="232"/>
    <row r="238"/>
    <row r="244"/>
  </sheetData>
  <mergeCells count="66">
    <mergeCell ref="B10:B14"/>
    <mergeCell ref="C40:C44"/>
    <mergeCell ref="B84:H84"/>
    <mergeCell ref="E34:E38"/>
    <mergeCell ref="E40:E44"/>
    <mergeCell ref="C76:C80"/>
    <mergeCell ref="C52:C56"/>
    <mergeCell ref="B83:H83"/>
    <mergeCell ref="D16:D20"/>
    <mergeCell ref="C46:C50"/>
    <mergeCell ref="B34:B38"/>
    <mergeCell ref="B15:E15"/>
    <mergeCell ref="E46:E50"/>
    <mergeCell ref="B28:B32"/>
    <mergeCell ref="B33:E33"/>
    <mergeCell ref="D28:D32"/>
    <mergeCell ref="B51:E51"/>
    <mergeCell ref="B64:B68"/>
    <mergeCell ref="E70:E74"/>
    <mergeCell ref="B85:H85"/>
    <mergeCell ref="C70:C74"/>
    <mergeCell ref="B63:E63"/>
    <mergeCell ref="D58:D62"/>
    <mergeCell ref="B40:B44"/>
    <mergeCell ref="B45:E45"/>
    <mergeCell ref="B75:E75"/>
    <mergeCell ref="E76:E80"/>
    <mergeCell ref="D64:D68"/>
    <mergeCell ref="E16:E20"/>
    <mergeCell ref="C28:C32"/>
    <mergeCell ref="B81:E81"/>
    <mergeCell ref="B76:B80"/>
    <mergeCell ref="E22:E26"/>
    <mergeCell ref="B16:B20"/>
    <mergeCell ref="D10:D14"/>
    <mergeCell ref="C58:C62"/>
    <mergeCell ref="B27:E27"/>
    <mergeCell ref="E58:E62"/>
    <mergeCell ref="C34:C38"/>
    <mergeCell ref="E52:E56"/>
    <mergeCell ref="D22:D26"/>
    <mergeCell ref="D34:D38"/>
    <mergeCell ref="E64:E68"/>
    <mergeCell ref="B21:E21"/>
    <mergeCell ref="B39:E39"/>
    <mergeCell ref="B22:B26"/>
    <mergeCell ref="D46:D50"/>
    <mergeCell ref="B46:B50"/>
    <mergeCell ref="F9:G9"/>
    <mergeCell ref="D40:D44"/>
    <mergeCell ref="B58:B62"/>
    <mergeCell ref="E10:E14"/>
    <mergeCell ref="C64:C68"/>
    <mergeCell ref="B52:B56"/>
    <mergeCell ref="B57:E57"/>
    <mergeCell ref="D52:D56"/>
    <mergeCell ref="B82:H82"/>
    <mergeCell ref="B69:E69"/>
    <mergeCell ref="C10:C14"/>
    <mergeCell ref="C16:C20"/>
    <mergeCell ref="E28:E32"/>
    <mergeCell ref="D76:D80"/>
    <mergeCell ref="B70:B74"/>
    <mergeCell ref="C22:C26"/>
    <mergeCell ref="D70:D74"/>
    <mergeCell ref="H87:J90"/>
  </mergeCells>
  <printOptions horizontalCentered="1"/>
  <pageMargins left="0.3937007874015748" right="0.3937007874015748" top="1.181102362204725" bottom="0.5905511811023623" header="0" footer="0"/>
  <pageSetup orientation="portrait" paperSize="9" scale="58" fitToHeight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AL62"/>
  <sheetViews>
    <sheetView showGridLines="0" tabSelected="1" zoomScaleNormal="100" workbookViewId="0">
      <selection activeCell="H5" sqref="H5"/>
    </sheetView>
  </sheetViews>
  <sheetFormatPr baseColWidth="8" defaultColWidth="8.69921875" defaultRowHeight="15.6"/>
  <cols>
    <col width="8.59765625" customWidth="1" style="45" min="1" max="1"/>
    <col width="26.8984375" customWidth="1" style="45" min="2" max="2"/>
    <col width="14.69921875" customWidth="1" style="45" min="3" max="8"/>
    <col width="14.59765625" customWidth="1" style="45" min="9" max="9"/>
    <col width="14.69921875" customWidth="1" style="45" min="10" max="32"/>
    <col width="14.59765625" customWidth="1" style="45" min="33" max="35"/>
    <col width="14.69921875" customWidth="1" style="45" min="36" max="38"/>
    <col width="8.69921875" customWidth="1" style="45" min="39" max="16384"/>
  </cols>
  <sheetData>
    <row r="1" ht="25.05" customHeight="1" s="121">
      <c r="D1" s="46" t="n"/>
      <c r="E1" s="46" t="n"/>
      <c r="F1" s="46" t="n"/>
    </row>
    <row r="2" ht="25.05" customHeight="1" s="121">
      <c r="D2" s="46" t="n"/>
      <c r="E2" s="46" t="n"/>
      <c r="F2" s="46" t="n"/>
    </row>
    <row r="3" ht="24.6" customHeight="1" s="121">
      <c r="D3" s="46" t="n"/>
      <c r="E3" s="46" t="n"/>
      <c r="F3" s="46" t="n"/>
    </row>
    <row r="4" ht="6" customHeight="1" s="121">
      <c r="D4" s="46" t="n"/>
      <c r="E4" s="46" t="n"/>
      <c r="F4" s="46" t="n"/>
    </row>
    <row r="5" ht="19.95" customHeight="1" s="121">
      <c r="B5" s="48" t="inlineStr">
        <is>
          <t xml:space="preserve"> Invoice Date </t>
        </is>
      </c>
      <c r="C5" s="49">
        <f>Invoice!C5</f>
        <v/>
      </c>
      <c r="D5" s="49" t="n"/>
      <c r="E5" s="49" t="n"/>
    </row>
    <row r="6" ht="19.95" customHeight="1" s="121">
      <c r="B6" s="48" t="inlineStr">
        <is>
          <t xml:space="preserve"> Billing Account Name  </t>
        </is>
      </c>
      <c r="C6" s="47" t="inlineStr">
        <is>
          <t>: Coupang</t>
        </is>
      </c>
      <c r="D6" s="47" t="n"/>
      <c r="E6" s="47" t="n"/>
    </row>
    <row r="7" ht="19.95" customHeight="1" s="121">
      <c r="B7" s="48" t="inlineStr">
        <is>
          <t xml:space="preserve"> Term of Use            </t>
        </is>
      </c>
      <c r="C7" s="47">
        <f>Invoice!C7</f>
        <v/>
      </c>
      <c r="D7" s="47" t="n"/>
      <c r="E7" s="47" t="n"/>
    </row>
    <row r="8" ht="19.95" customHeight="1" s="121">
      <c r="B8" s="61" t="inlineStr">
        <is>
          <t xml:space="preserve"> 환율</t>
        </is>
      </c>
      <c r="C8" s="139">
        <f>Invoice!I84</f>
        <v/>
      </c>
      <c r="D8" s="47" t="inlineStr">
        <is>
          <t>(하나은행 2026.03.31 최종 송금환율 기준)</t>
        </is>
      </c>
      <c r="E8" s="47" t="n"/>
    </row>
    <row r="9" customFormat="1" s="72">
      <c r="C9" s="73" t="n"/>
      <c r="D9" s="73" t="n"/>
      <c r="E9" s="140">
        <f>SUM(C11,C18,C25,C32,C39,C46)</f>
        <v/>
      </c>
      <c r="H9" s="140">
        <f>SUM(F11,F18,F25,F32,F39,F46)</f>
        <v/>
      </c>
      <c r="I9" s="141" t="n"/>
      <c r="K9" s="140">
        <f>SUM(I11,I18,I25,I32,I39,I46)</f>
        <v/>
      </c>
      <c r="N9" s="140">
        <f>SUM(L11,L18,L25,L32,L39,L46)</f>
        <v/>
      </c>
      <c r="Q9" s="140">
        <f>SUM(O11,O18,O25,O32,O39,O46)</f>
        <v/>
      </c>
      <c r="T9" s="140">
        <f>SUM(R11,R18,R25,R32,R39,R46)</f>
        <v/>
      </c>
      <c r="W9" s="140">
        <f>SUM(U11,U18,U25,U32,U39,U46)</f>
        <v/>
      </c>
      <c r="Z9" s="140">
        <f>SUM(X11,X18,X25,X32,X39,X46)</f>
        <v/>
      </c>
      <c r="AC9" s="140">
        <f>SUM(AA11,AA18,AA25,AA32,AA39,AA46)</f>
        <v/>
      </c>
      <c r="AF9" s="140">
        <f>SUM(AD11,AD18,AD25,AD32,AD39,AD46)</f>
        <v/>
      </c>
      <c r="AI9" s="140">
        <f>SUM(AG11,AG18,AG25,AG32,AG39,AG46)</f>
        <v/>
      </c>
    </row>
    <row r="10" ht="42" customHeight="1" s="121">
      <c r="B10" s="142" t="inlineStr">
        <is>
          <t>LSMNM</t>
        </is>
      </c>
      <c r="C10" s="143">
        <f>Invoice!$B$10</f>
        <v/>
      </c>
      <c r="D10" s="144" t="n"/>
      <c r="E10" s="145" t="n"/>
      <c r="F10" s="143">
        <f>Invoice!$B$22</f>
        <v/>
      </c>
      <c r="G10" s="144" t="n"/>
      <c r="H10" s="145" t="n"/>
      <c r="I10" s="143">
        <f>Invoice!$B$28</f>
        <v/>
      </c>
      <c r="J10" s="144" t="n"/>
      <c r="K10" s="145" t="n"/>
      <c r="L10" s="143">
        <f>Invoice!$B$34</f>
        <v/>
      </c>
      <c r="M10" s="144" t="n"/>
      <c r="N10" s="145" t="n"/>
      <c r="O10" s="143">
        <f>Invoice!$B$40</f>
        <v/>
      </c>
      <c r="P10" s="144" t="n"/>
      <c r="Q10" s="145" t="n"/>
      <c r="R10" s="143">
        <f>Invoice!$B$46</f>
        <v/>
      </c>
      <c r="S10" s="144" t="n"/>
      <c r="T10" s="145" t="n"/>
      <c r="U10" s="143">
        <f>Invoice!$B$52</f>
        <v/>
      </c>
      <c r="V10" s="144" t="n"/>
      <c r="W10" s="145" t="n"/>
      <c r="X10" s="143">
        <f>Invoice!$B$58</f>
        <v/>
      </c>
      <c r="Y10" s="144" t="n"/>
      <c r="Z10" s="145" t="n"/>
      <c r="AA10" s="143">
        <f>Invoice!$B$64</f>
        <v/>
      </c>
      <c r="AB10" s="144" t="n"/>
      <c r="AC10" s="145" t="n"/>
      <c r="AD10" s="143">
        <f>Invoice!$B$70</f>
        <v/>
      </c>
      <c r="AE10" s="144" t="n"/>
      <c r="AF10" s="145" t="n"/>
      <c r="AG10" s="143">
        <f>Invoice!$B$76</f>
        <v/>
      </c>
      <c r="AH10" s="144" t="n"/>
      <c r="AI10" s="145" t="n"/>
    </row>
    <row r="11" ht="18.75" customFormat="1" customHeight="1" s="76">
      <c r="B11" s="146" t="n"/>
      <c r="C11" s="147" t="n">
        <v>6161</v>
      </c>
      <c r="D11" s="144" t="n"/>
      <c r="E11" s="145" t="n"/>
      <c r="F11" s="147" t="n">
        <v>6520</v>
      </c>
      <c r="G11" s="144" t="n"/>
      <c r="H11" s="145" t="n"/>
      <c r="I11" s="147" t="n">
        <v>0</v>
      </c>
      <c r="J11" s="144" t="n"/>
      <c r="K11" s="145" t="n"/>
      <c r="L11" s="147" t="n">
        <v>0</v>
      </c>
      <c r="M11" s="144" t="n"/>
      <c r="N11" s="145" t="n"/>
      <c r="O11" s="147" t="n">
        <v>0</v>
      </c>
      <c r="P11" s="144" t="n"/>
      <c r="Q11" s="145" t="n"/>
      <c r="R11" s="147" t="n">
        <v>0</v>
      </c>
      <c r="S11" s="144" t="n"/>
      <c r="T11" s="145" t="n"/>
      <c r="U11" s="147" t="n">
        <v>0</v>
      </c>
      <c r="V11" s="144" t="n"/>
      <c r="W11" s="145" t="n"/>
      <c r="X11" s="147" t="n">
        <v>0</v>
      </c>
      <c r="Y11" s="144" t="n"/>
      <c r="Z11" s="145" t="n"/>
      <c r="AA11" s="147" t="n">
        <v>0</v>
      </c>
      <c r="AB11" s="144" t="n"/>
      <c r="AC11" s="145" t="n"/>
      <c r="AD11" s="147" t="n">
        <v>0</v>
      </c>
      <c r="AE11" s="144" t="n"/>
      <c r="AF11" s="145" t="n"/>
      <c r="AG11" s="147" t="n">
        <v>0</v>
      </c>
      <c r="AH11" s="144" t="n"/>
      <c r="AI11" s="145" t="n"/>
    </row>
    <row r="12" ht="18.75" customHeight="1" s="121">
      <c r="B12" s="146" t="n"/>
      <c r="C12" s="148" t="inlineStr">
        <is>
          <t>monthly unit price($)</t>
        </is>
      </c>
      <c r="D12" s="145" t="n"/>
      <c r="E12" s="54" t="inlineStr">
        <is>
          <t>amount</t>
        </is>
      </c>
      <c r="F12" s="148" t="inlineStr">
        <is>
          <t>monthly unit price($)</t>
        </is>
      </c>
      <c r="G12" s="145" t="n"/>
      <c r="H12" s="54" t="inlineStr">
        <is>
          <t>amount</t>
        </is>
      </c>
      <c r="I12" s="148" t="inlineStr">
        <is>
          <t xml:space="preserve">monthly unit price($) </t>
        </is>
      </c>
      <c r="J12" s="145" t="n"/>
      <c r="K12" s="54" t="inlineStr">
        <is>
          <t>amount</t>
        </is>
      </c>
      <c r="L12" s="148" t="inlineStr">
        <is>
          <t xml:space="preserve">monthly unit price($) </t>
        </is>
      </c>
      <c r="M12" s="145" t="n"/>
      <c r="N12" s="54" t="inlineStr">
        <is>
          <t>amount</t>
        </is>
      </c>
      <c r="O12" s="148" t="inlineStr">
        <is>
          <t xml:space="preserve">monthly unit price($) </t>
        </is>
      </c>
      <c r="P12" s="145" t="n"/>
      <c r="Q12" s="54" t="inlineStr">
        <is>
          <t>amount</t>
        </is>
      </c>
      <c r="R12" s="148" t="inlineStr">
        <is>
          <t xml:space="preserve">monthly unit price($) </t>
        </is>
      </c>
      <c r="S12" s="145" t="n"/>
      <c r="T12" s="54" t="inlineStr">
        <is>
          <t>amount</t>
        </is>
      </c>
      <c r="U12" s="148" t="inlineStr">
        <is>
          <t xml:space="preserve">monthly unit price($) </t>
        </is>
      </c>
      <c r="V12" s="145" t="n"/>
      <c r="W12" s="54" t="inlineStr">
        <is>
          <t>amount</t>
        </is>
      </c>
      <c r="X12" s="148" t="inlineStr">
        <is>
          <t xml:space="preserve">monthly unit price($) </t>
        </is>
      </c>
      <c r="Y12" s="145" t="n"/>
      <c r="Z12" s="54" t="inlineStr">
        <is>
          <t>amount</t>
        </is>
      </c>
      <c r="AA12" s="148" t="inlineStr">
        <is>
          <t xml:space="preserve">monthly unit price($) </t>
        </is>
      </c>
      <c r="AB12" s="145" t="n"/>
      <c r="AC12" s="54" t="inlineStr">
        <is>
          <t>amount</t>
        </is>
      </c>
      <c r="AD12" s="148" t="inlineStr">
        <is>
          <t xml:space="preserve">monthly unit price($) </t>
        </is>
      </c>
      <c r="AE12" s="145" t="n"/>
      <c r="AF12" s="54" t="inlineStr">
        <is>
          <t>amount</t>
        </is>
      </c>
      <c r="AG12" s="148" t="inlineStr">
        <is>
          <t xml:space="preserve">monthly unit price($) </t>
        </is>
      </c>
      <c r="AH12" s="145" t="n"/>
      <c r="AI12" s="54" t="inlineStr">
        <is>
          <t>amount</t>
        </is>
      </c>
    </row>
    <row r="13" ht="18.75" customHeight="1" s="121">
      <c r="B13" s="149" t="n"/>
      <c r="C13" s="150">
        <f>Invoice!$I$15/Invoice!$C$10</f>
        <v/>
      </c>
      <c r="D13" s="145" t="n"/>
      <c r="E13" s="151">
        <f>C11*C13</f>
        <v/>
      </c>
      <c r="F13" s="150">
        <f>Invoice!$I$27/Invoice!$C$22</f>
        <v/>
      </c>
      <c r="G13" s="145" t="n"/>
      <c r="H13" s="151">
        <f>F11*F13</f>
        <v/>
      </c>
      <c r="I13" s="150">
        <f>Invoice!$I$33/Invoice!$C$28</f>
        <v/>
      </c>
      <c r="J13" s="145" t="n"/>
      <c r="K13" s="151">
        <f>I11*I13</f>
        <v/>
      </c>
      <c r="L13" s="150">
        <f>IF(Invoice!C34&gt;0,Invoice!$I$39/Invoice!$C$34,0)</f>
        <v/>
      </c>
      <c r="M13" s="145" t="n"/>
      <c r="N13" s="151">
        <f>L11*L13</f>
        <v/>
      </c>
      <c r="O13" s="150">
        <f>Invoice!$I$45/Invoice!$C$40</f>
        <v/>
      </c>
      <c r="P13" s="145" t="n"/>
      <c r="Q13" s="151">
        <f>O11*O13</f>
        <v/>
      </c>
      <c r="R13" s="150">
        <f>Invoice!$I$51/Invoice!$C$46</f>
        <v/>
      </c>
      <c r="S13" s="145" t="n"/>
      <c r="T13" s="151">
        <f>R11*R13</f>
        <v/>
      </c>
      <c r="U13" s="150">
        <f>Invoice!$I$57/Invoice!$C$52</f>
        <v/>
      </c>
      <c r="V13" s="145" t="n"/>
      <c r="W13" s="151">
        <f>U11*U13</f>
        <v/>
      </c>
      <c r="X13" s="150">
        <f>Invoice!$I$63/Invoice!$C$58</f>
        <v/>
      </c>
      <c r="Y13" s="145" t="n"/>
      <c r="Z13" s="151">
        <f>X11*X13</f>
        <v/>
      </c>
      <c r="AA13" s="150">
        <f>Invoice!$I$69/Invoice!$C$64</f>
        <v/>
      </c>
      <c r="AB13" s="145" t="n"/>
      <c r="AC13" s="151">
        <f>AA11*AA13</f>
        <v/>
      </c>
      <c r="AD13" s="152">
        <f>Invoice!$I$75/Invoice!$C$70</f>
        <v/>
      </c>
      <c r="AE13" s="145" t="n"/>
      <c r="AF13" s="151">
        <f>AD11*AD13</f>
        <v/>
      </c>
      <c r="AG13" s="152">
        <f>Invoice!$I$81/Invoice!$C$76</f>
        <v/>
      </c>
      <c r="AH13" s="145" t="n"/>
      <c r="AI13" s="151">
        <f>AG11*AG13</f>
        <v/>
      </c>
    </row>
    <row r="14" ht="18.75" customHeight="1" s="121">
      <c r="B14" s="153" t="inlineStr">
        <is>
          <t>toal($)</t>
        </is>
      </c>
      <c r="C14" s="144" t="n"/>
      <c r="D14" s="145" t="n"/>
      <c r="E14" s="154">
        <f>ROUND(SUM(E13,H13,K13,N13,Q13,T13,W13,Z13,AC13,AF13,AI13),0)</f>
        <v/>
      </c>
      <c r="F14" s="155" t="n"/>
      <c r="G14" s="65" t="n"/>
      <c r="H14" s="156" t="n"/>
      <c r="I14" s="155" t="n"/>
      <c r="J14" s="65" t="n"/>
      <c r="K14" s="156" t="n"/>
      <c r="L14" s="155" t="n"/>
      <c r="M14" s="65" t="n"/>
      <c r="N14" s="156" t="n"/>
      <c r="O14" s="155" t="n"/>
      <c r="P14" s="65" t="n"/>
      <c r="Q14" s="156" t="n"/>
      <c r="R14" s="155" t="n"/>
      <c r="S14" s="65" t="n"/>
      <c r="T14" s="156" t="n"/>
      <c r="U14" s="155" t="n"/>
      <c r="V14" s="65" t="n"/>
      <c r="W14" s="156" t="n"/>
      <c r="X14" s="155" t="n"/>
      <c r="Y14" s="65" t="n"/>
      <c r="Z14" s="156" t="n"/>
      <c r="AA14" s="155" t="n"/>
      <c r="AB14" s="65" t="n"/>
      <c r="AC14" s="156" t="n"/>
      <c r="AD14" s="157" t="n"/>
      <c r="AE14" s="158" t="n"/>
      <c r="AF14" s="156" t="n"/>
      <c r="AG14" s="157" t="n"/>
      <c r="AH14" s="158" t="n"/>
      <c r="AI14" s="156" t="n"/>
    </row>
    <row r="15" ht="18.75" customHeight="1" s="121">
      <c r="B15" s="159" t="inlineStr">
        <is>
          <t>toal(\)</t>
        </is>
      </c>
      <c r="C15" s="144" t="n"/>
      <c r="D15" s="145" t="n"/>
      <c r="E15" s="160">
        <f>ROUND(E14*$C$8,0)</f>
        <v/>
      </c>
      <c r="F15" s="0" t="n"/>
      <c r="G15" s="65" t="n"/>
      <c r="H15" s="0" t="n"/>
      <c r="I15" s="0" t="n"/>
      <c r="J15" s="0" t="n"/>
      <c r="K15" s="0" t="n"/>
      <c r="L15" s="0" t="n"/>
      <c r="M15" s="0" t="n"/>
      <c r="N15" s="0" t="n"/>
      <c r="O15" s="0" t="n"/>
      <c r="P15" s="0" t="n"/>
      <c r="Q15" s="0" t="n"/>
      <c r="R15" s="0" t="n"/>
      <c r="S15" s="0" t="n"/>
      <c r="T15" s="0" t="n"/>
      <c r="U15" s="0" t="n"/>
      <c r="V15" s="0" t="n"/>
      <c r="W15" s="0" t="n"/>
      <c r="X15" s="0" t="n"/>
      <c r="Y15" s="0" t="n"/>
      <c r="Z15" s="0" t="n"/>
      <c r="AA15" s="0" t="n"/>
      <c r="AB15" s="0" t="n"/>
      <c r="AC15" s="0" t="n"/>
      <c r="AD15" s="0" t="n"/>
      <c r="AE15" s="0" t="n"/>
      <c r="AF15" s="0" t="n"/>
    </row>
    <row r="16" ht="18.75" customFormat="1" customHeight="1" s="72">
      <c r="B16" s="77" t="n"/>
      <c r="C16" s="77" t="n"/>
      <c r="D16" s="77" t="n"/>
      <c r="E16" s="161">
        <f>E13+E20+E27+E34+E41+E48</f>
        <v/>
      </c>
      <c r="F16" s="77" t="n"/>
      <c r="G16" s="77" t="n"/>
      <c r="H16" s="161">
        <f>H13+H20+H27+H34+H41+H48</f>
        <v/>
      </c>
      <c r="I16" s="77" t="n"/>
      <c r="J16" s="77" t="n"/>
      <c r="K16" s="161">
        <f>K13+K20+K27+K34+K41+K48</f>
        <v/>
      </c>
      <c r="L16" s="77" t="n"/>
      <c r="M16" s="77" t="n"/>
      <c r="N16" s="161">
        <f>N13+N20+N27+N34+N41+N48</f>
        <v/>
      </c>
      <c r="O16" s="77" t="n"/>
      <c r="P16" s="77" t="n"/>
      <c r="Q16" s="161">
        <f>Q13+Q20+Q27+Q34+Q41+Q48</f>
        <v/>
      </c>
      <c r="R16" s="77" t="n"/>
      <c r="S16" s="77" t="n"/>
      <c r="T16" s="161">
        <f>T13+T20+T27+T34+T41+T48</f>
        <v/>
      </c>
      <c r="U16" s="77" t="n"/>
      <c r="V16" s="77" t="n"/>
      <c r="W16" s="161">
        <f>W13+W20+W27+W34+W41+W48</f>
        <v/>
      </c>
      <c r="X16" s="77" t="n"/>
      <c r="Y16" s="77" t="n"/>
      <c r="Z16" s="161">
        <f>Z13+Z20+Z27+Z34+Z41+Z48</f>
        <v/>
      </c>
      <c r="AA16" s="77" t="n"/>
      <c r="AB16" s="77" t="n"/>
      <c r="AC16" s="161">
        <f>AC13+AC20+AC27+AC34+AC41+AC48</f>
        <v/>
      </c>
      <c r="AD16" s="77" t="n"/>
      <c r="AE16" s="77" t="n"/>
      <c r="AF16" s="161">
        <f>AF13+AF20+AF27+AF34+AF41+AF48</f>
        <v/>
      </c>
      <c r="AI16" s="161">
        <f>AI13+AI20+AI27+AI34+AI41+AI48</f>
        <v/>
      </c>
      <c r="AL16" s="161">
        <f>AL13+AL20+AL27+AL34+AL41+AL48</f>
        <v/>
      </c>
    </row>
    <row r="17" ht="42" customHeight="1" s="121">
      <c r="B17" s="142" t="inlineStr">
        <is>
          <t>Coupang-02</t>
        </is>
      </c>
      <c r="C17" s="143">
        <f>Invoice!$B$10</f>
        <v/>
      </c>
      <c r="D17" s="144" t="n"/>
      <c r="E17" s="145" t="n"/>
      <c r="F17" s="143">
        <f>Invoice!$B$22</f>
        <v/>
      </c>
      <c r="G17" s="144" t="n"/>
      <c r="H17" s="145" t="n"/>
      <c r="I17" s="143">
        <f>Invoice!$B$28</f>
        <v/>
      </c>
      <c r="J17" s="144" t="n"/>
      <c r="K17" s="145" t="n"/>
      <c r="L17" s="143">
        <f>Invoice!$B$34</f>
        <v/>
      </c>
      <c r="M17" s="144" t="n"/>
      <c r="N17" s="145" t="n"/>
      <c r="O17" s="143">
        <f>Invoice!$B$40</f>
        <v/>
      </c>
      <c r="P17" s="144" t="n"/>
      <c r="Q17" s="145" t="n"/>
      <c r="R17" s="143">
        <f>Invoice!$B$46</f>
        <v/>
      </c>
      <c r="S17" s="144" t="n"/>
      <c r="T17" s="145" t="n"/>
      <c r="U17" s="143">
        <f>Invoice!$B$52</f>
        <v/>
      </c>
      <c r="V17" s="144" t="n"/>
      <c r="W17" s="145" t="n"/>
      <c r="X17" s="143">
        <f>Invoice!$B$58</f>
        <v/>
      </c>
      <c r="Y17" s="144" t="n"/>
      <c r="Z17" s="145" t="n"/>
      <c r="AA17" s="143">
        <f>Invoice!$B$64</f>
        <v/>
      </c>
      <c r="AB17" s="144" t="n"/>
      <c r="AC17" s="145" t="n"/>
      <c r="AD17" s="143">
        <f>Invoice!$B$70</f>
        <v/>
      </c>
      <c r="AE17" s="144" t="n"/>
      <c r="AF17" s="145" t="n"/>
      <c r="AG17" s="143">
        <f>Invoice!$B$76</f>
        <v/>
      </c>
      <c r="AH17" s="144" t="n"/>
      <c r="AI17" s="145" t="n"/>
      <c r="AJ17" s="143" t="inlineStr">
        <is>
          <t>Directions</t>
        </is>
      </c>
      <c r="AK17" s="144" t="n"/>
      <c r="AL17" s="145" t="n"/>
    </row>
    <row r="18" ht="18.75" customHeight="1" s="121">
      <c r="B18" s="146" t="n"/>
      <c r="C18" s="147" t="n">
        <v>6087249</v>
      </c>
      <c r="D18" s="144" t="n"/>
      <c r="E18" s="145" t="n"/>
      <c r="F18" s="147" t="n">
        <v>0</v>
      </c>
      <c r="G18" s="144" t="n"/>
      <c r="H18" s="145" t="n"/>
      <c r="I18" s="147" t="n">
        <v>0</v>
      </c>
      <c r="J18" s="144" t="n"/>
      <c r="K18" s="145" t="n"/>
      <c r="L18" s="162" t="n">
        <v>0</v>
      </c>
      <c r="M18" s="144" t="n"/>
      <c r="N18" s="145" t="n"/>
      <c r="O18" s="162" t="n">
        <v>0</v>
      </c>
      <c r="P18" s="144" t="n"/>
      <c r="Q18" s="145" t="n"/>
      <c r="R18" s="162" t="n">
        <v>0</v>
      </c>
      <c r="S18" s="144" t="n"/>
      <c r="T18" s="145" t="n"/>
      <c r="U18" s="147" t="n">
        <v>20</v>
      </c>
      <c r="V18" s="144" t="n"/>
      <c r="W18" s="145" t="n"/>
      <c r="X18" s="147" t="n">
        <v>20</v>
      </c>
      <c r="Y18" s="144" t="n"/>
      <c r="Z18" s="145" t="n"/>
      <c r="AA18" s="147" t="n">
        <v>20</v>
      </c>
      <c r="AB18" s="144" t="n"/>
      <c r="AC18" s="145" t="n"/>
      <c r="AD18" s="162" t="n">
        <v>0</v>
      </c>
      <c r="AE18" s="144" t="n"/>
      <c r="AF18" s="145" t="n"/>
      <c r="AG18" s="147" t="n">
        <v>20</v>
      </c>
      <c r="AH18" s="144" t="n"/>
      <c r="AI18" s="145" t="n"/>
      <c r="AJ18" s="147" t="n">
        <v>0</v>
      </c>
      <c r="AK18" s="144" t="n"/>
      <c r="AL18" s="145" t="n"/>
    </row>
    <row r="19" ht="18.75" customHeight="1" s="121">
      <c r="B19" s="146" t="n"/>
      <c r="C19" s="148" t="inlineStr">
        <is>
          <t>monthly unit price($)</t>
        </is>
      </c>
      <c r="D19" s="145" t="n"/>
      <c r="E19" s="54" t="inlineStr">
        <is>
          <t>amount</t>
        </is>
      </c>
      <c r="F19" s="148" t="inlineStr">
        <is>
          <t>monthly unit price($)</t>
        </is>
      </c>
      <c r="G19" s="145" t="n"/>
      <c r="H19" s="54" t="inlineStr">
        <is>
          <t>amount</t>
        </is>
      </c>
      <c r="I19" s="148" t="inlineStr">
        <is>
          <t xml:space="preserve">monthly unit price($) </t>
        </is>
      </c>
      <c r="J19" s="145" t="n"/>
      <c r="K19" s="54" t="inlineStr">
        <is>
          <t>amount</t>
        </is>
      </c>
      <c r="L19" s="148" t="inlineStr">
        <is>
          <t xml:space="preserve">monthly unit price($) </t>
        </is>
      </c>
      <c r="M19" s="145" t="n"/>
      <c r="N19" s="54" t="inlineStr">
        <is>
          <t>amount</t>
        </is>
      </c>
      <c r="O19" s="148" t="inlineStr">
        <is>
          <t xml:space="preserve">monthly unit price($) </t>
        </is>
      </c>
      <c r="P19" s="145" t="n"/>
      <c r="Q19" s="54" t="inlineStr">
        <is>
          <t>amount</t>
        </is>
      </c>
      <c r="R19" s="148" t="inlineStr">
        <is>
          <t xml:space="preserve">monthly unit price($) </t>
        </is>
      </c>
      <c r="S19" s="145" t="n"/>
      <c r="T19" s="54" t="inlineStr">
        <is>
          <t>amount</t>
        </is>
      </c>
      <c r="U19" s="148" t="inlineStr">
        <is>
          <t xml:space="preserve">monthly unit price($) </t>
        </is>
      </c>
      <c r="V19" s="145" t="n"/>
      <c r="W19" s="54" t="inlineStr">
        <is>
          <t>amount</t>
        </is>
      </c>
      <c r="X19" s="148" t="inlineStr">
        <is>
          <t xml:space="preserve">monthly unit price($) </t>
        </is>
      </c>
      <c r="Y19" s="145" t="n"/>
      <c r="Z19" s="54" t="inlineStr">
        <is>
          <t>amount</t>
        </is>
      </c>
      <c r="AA19" s="148" t="inlineStr">
        <is>
          <t xml:space="preserve">monthly unit price($) </t>
        </is>
      </c>
      <c r="AB19" s="145" t="n"/>
      <c r="AC19" s="54" t="inlineStr">
        <is>
          <t>amount</t>
        </is>
      </c>
      <c r="AD19" s="148" t="inlineStr">
        <is>
          <t xml:space="preserve">monthly unit price($) </t>
        </is>
      </c>
      <c r="AE19" s="145" t="n"/>
      <c r="AF19" s="54" t="inlineStr">
        <is>
          <t>amount</t>
        </is>
      </c>
      <c r="AG19" s="148" t="inlineStr">
        <is>
          <t xml:space="preserve">monthly unit price($) </t>
        </is>
      </c>
      <c r="AH19" s="145" t="n"/>
      <c r="AI19" s="54" t="inlineStr">
        <is>
          <t>amount</t>
        </is>
      </c>
      <c r="AJ19" s="148" t="inlineStr">
        <is>
          <t xml:space="preserve">monthly unit price($) </t>
        </is>
      </c>
      <c r="AK19" s="145" t="n"/>
      <c r="AL19" s="54" t="inlineStr">
        <is>
          <t>amount</t>
        </is>
      </c>
    </row>
    <row r="20" ht="18.75" customHeight="1" s="121">
      <c r="B20" s="149" t="n"/>
      <c r="C20" s="150">
        <f>Invoice!$I$15/Invoice!$C$10</f>
        <v/>
      </c>
      <c r="D20" s="145" t="n"/>
      <c r="E20" s="151">
        <f>C18*C20</f>
        <v/>
      </c>
      <c r="F20" s="150">
        <f>Invoice!$I$27/Invoice!$C$22</f>
        <v/>
      </c>
      <c r="G20" s="145" t="n"/>
      <c r="H20" s="151">
        <f>F18*F20</f>
        <v/>
      </c>
      <c r="I20" s="150">
        <f>Invoice!$I$33/Invoice!$C$28</f>
        <v/>
      </c>
      <c r="J20" s="145" t="n"/>
      <c r="K20" s="151">
        <f>I18*I20</f>
        <v/>
      </c>
      <c r="L20" s="150">
        <f>L13</f>
        <v/>
      </c>
      <c r="M20" s="145" t="n"/>
      <c r="N20" s="151">
        <f>L18*L20</f>
        <v/>
      </c>
      <c r="O20" s="150">
        <f>Invoice!$I$45/Invoice!$C$40</f>
        <v/>
      </c>
      <c r="P20" s="145" t="n"/>
      <c r="Q20" s="151">
        <f>O18*O20</f>
        <v/>
      </c>
      <c r="R20" s="150">
        <f>Invoice!$I$51/Invoice!$C$46</f>
        <v/>
      </c>
      <c r="S20" s="145" t="n"/>
      <c r="T20" s="151">
        <f>R18*R20</f>
        <v/>
      </c>
      <c r="U20" s="150">
        <f>Invoice!$I$57/Invoice!$C$52</f>
        <v/>
      </c>
      <c r="V20" s="145" t="n"/>
      <c r="W20" s="151">
        <f>U18*U20</f>
        <v/>
      </c>
      <c r="X20" s="150">
        <f>Invoice!$I$63/Invoice!$C$58</f>
        <v/>
      </c>
      <c r="Y20" s="145" t="n"/>
      <c r="Z20" s="151">
        <f>X18*X20</f>
        <v/>
      </c>
      <c r="AA20" s="150">
        <f>Invoice!$I$69/Invoice!$C$64</f>
        <v/>
      </c>
      <c r="AB20" s="145" t="n"/>
      <c r="AC20" s="151">
        <f>AA18*AA20</f>
        <v/>
      </c>
      <c r="AD20" s="152">
        <f>Invoice!$I$75/Invoice!$C$70</f>
        <v/>
      </c>
      <c r="AE20" s="145" t="n"/>
      <c r="AF20" s="151">
        <f>AD18*AD20</f>
        <v/>
      </c>
      <c r="AG20" s="152">
        <f>Invoice!$I$81/Invoice!$C$76</f>
        <v/>
      </c>
      <c r="AH20" s="145" t="n"/>
      <c r="AI20" s="151">
        <f>AG18*AG20</f>
        <v/>
      </c>
      <c r="AJ20" s="152">
        <f>IF(Invoice!C16&gt;0,Invoice!I21/Invoice!C16,0)</f>
        <v/>
      </c>
      <c r="AK20" s="145" t="n"/>
      <c r="AL20" s="151">
        <f>AJ18*AJ20</f>
        <v/>
      </c>
    </row>
    <row r="21" ht="18.75" customHeight="1" s="121">
      <c r="B21" s="153" t="inlineStr">
        <is>
          <t>toal($)</t>
        </is>
      </c>
      <c r="C21" s="144" t="n"/>
      <c r="D21" s="145" t="n"/>
      <c r="E21" s="154">
        <f>ROUND(SUM(E20,H20,K20,N20,Q20,T20,W20,Z20,AC20,AF20,AI20),0)</f>
        <v/>
      </c>
      <c r="F21" s="155" t="n"/>
      <c r="G21" s="65" t="n"/>
      <c r="H21" s="156" t="n"/>
      <c r="I21" s="155" t="n"/>
      <c r="J21" s="65" t="n"/>
      <c r="K21" s="156" t="n"/>
      <c r="L21" s="155" t="n"/>
      <c r="M21" s="65" t="n"/>
      <c r="N21" s="156" t="n"/>
      <c r="O21" s="155" t="n"/>
      <c r="P21" s="65" t="n"/>
      <c r="Q21" s="156" t="n"/>
      <c r="R21" s="155" t="n"/>
      <c r="S21" s="65" t="n"/>
      <c r="T21" s="156" t="n"/>
      <c r="U21" s="155" t="n"/>
      <c r="V21" s="65" t="n"/>
      <c r="W21" s="156" t="n"/>
      <c r="X21" s="155" t="n"/>
      <c r="Y21" s="65" t="n"/>
      <c r="Z21" s="156" t="n"/>
      <c r="AA21" s="155" t="n"/>
      <c r="AB21" s="65" t="n"/>
      <c r="AC21" s="156" t="n"/>
      <c r="AD21" s="157" t="n"/>
      <c r="AE21" s="158" t="n"/>
      <c r="AF21" s="156" t="n"/>
      <c r="AG21" s="157" t="n"/>
      <c r="AH21" s="158" t="n"/>
      <c r="AI21" s="156" t="n"/>
    </row>
    <row r="22" ht="18.75" customHeight="1" s="121">
      <c r="B22" s="159" t="inlineStr">
        <is>
          <t>toal(\)</t>
        </is>
      </c>
      <c r="C22" s="144" t="n"/>
      <c r="D22" s="145" t="n"/>
      <c r="E22" s="160">
        <f>ROUND(E21*$C$8,0)</f>
        <v/>
      </c>
      <c r="F22" s="0" t="n"/>
      <c r="G22" s="0" t="n"/>
      <c r="H22" s="0" t="n"/>
      <c r="I22" s="0" t="n"/>
      <c r="J22" s="0" t="n"/>
      <c r="K22" s="0" t="n"/>
      <c r="L22" s="0" t="n"/>
      <c r="M22" s="0" t="n"/>
      <c r="N22" s="0" t="n"/>
      <c r="O22" s="0" t="n"/>
      <c r="P22" s="0" t="n"/>
      <c r="Q22" s="0" t="n"/>
      <c r="R22" s="0" t="n"/>
      <c r="S22" s="0" t="n"/>
      <c r="T22" s="0" t="n"/>
      <c r="U22" s="0" t="n"/>
      <c r="V22" s="0" t="n"/>
      <c r="W22" s="0" t="n"/>
      <c r="X22" s="0" t="n"/>
      <c r="Y22" s="0" t="n"/>
      <c r="Z22" s="0" t="n"/>
      <c r="AA22" s="0" t="n"/>
      <c r="AB22" s="0" t="n"/>
      <c r="AC22" s="0" t="n"/>
      <c r="AD22" s="0" t="n"/>
      <c r="AE22" s="0" t="n"/>
      <c r="AF22" s="0" t="n"/>
    </row>
    <row r="23" ht="18.75" customHeight="1" s="121">
      <c r="B23" s="0" t="n"/>
      <c r="C23" s="0" t="n"/>
      <c r="D23" s="0" t="n"/>
      <c r="E23" s="0" t="n"/>
      <c r="F23" s="0" t="n"/>
      <c r="G23" s="0" t="n"/>
      <c r="H23" s="0" t="n"/>
      <c r="I23" s="0" t="n"/>
      <c r="J23" s="0" t="n"/>
      <c r="K23" s="0" t="n"/>
      <c r="L23" s="0" t="n"/>
      <c r="M23" s="0" t="n"/>
      <c r="N23" s="0" t="n"/>
      <c r="O23" s="0" t="n"/>
      <c r="P23" s="0" t="n"/>
      <c r="Q23" s="0" t="n"/>
      <c r="R23" s="0" t="n"/>
      <c r="S23" s="0" t="n"/>
      <c r="T23" s="0" t="n"/>
      <c r="U23" s="0" t="n"/>
      <c r="V23" s="0" t="n"/>
      <c r="W23" s="0" t="n"/>
      <c r="X23" s="0" t="n"/>
      <c r="Y23" s="0" t="n"/>
      <c r="Z23" s="0" t="n"/>
      <c r="AA23" s="0" t="n"/>
      <c r="AB23" s="0" t="n"/>
      <c r="AC23" s="0" t="n"/>
      <c r="AD23" s="0" t="n"/>
      <c r="AE23" s="0" t="n"/>
      <c r="AF23" s="0" t="n"/>
    </row>
    <row r="24" ht="42" customHeight="1" s="121">
      <c r="B24" s="142" t="inlineStr">
        <is>
          <t>Coupang-03</t>
        </is>
      </c>
      <c r="C24" s="143">
        <f>Invoice!$B$10</f>
        <v/>
      </c>
      <c r="D24" s="144" t="n"/>
      <c r="E24" s="145" t="n"/>
      <c r="F24" s="143">
        <f>Invoice!$B$22</f>
        <v/>
      </c>
      <c r="G24" s="144" t="n"/>
      <c r="H24" s="145" t="n"/>
      <c r="I24" s="143">
        <f>Invoice!$B$28</f>
        <v/>
      </c>
      <c r="J24" s="144" t="n"/>
      <c r="K24" s="145" t="n"/>
      <c r="L24" s="143">
        <f>Invoice!$B$34</f>
        <v/>
      </c>
      <c r="M24" s="144" t="n"/>
      <c r="N24" s="145" t="n"/>
      <c r="O24" s="143">
        <f>Invoice!$B$40</f>
        <v/>
      </c>
      <c r="P24" s="144" t="n"/>
      <c r="Q24" s="145" t="n"/>
      <c r="R24" s="143">
        <f>Invoice!$B$46</f>
        <v/>
      </c>
      <c r="S24" s="144" t="n"/>
      <c r="T24" s="145" t="n"/>
      <c r="U24" s="143">
        <f>Invoice!$B$52</f>
        <v/>
      </c>
      <c r="V24" s="144" t="n"/>
      <c r="W24" s="145" t="n"/>
      <c r="X24" s="143">
        <f>Invoice!$B$58</f>
        <v/>
      </c>
      <c r="Y24" s="144" t="n"/>
      <c r="Z24" s="145" t="n"/>
      <c r="AA24" s="143">
        <f>Invoice!$B$64</f>
        <v/>
      </c>
      <c r="AB24" s="144" t="n"/>
      <c r="AC24" s="145" t="n"/>
      <c r="AD24" s="143">
        <f>Invoice!$B$70</f>
        <v/>
      </c>
      <c r="AE24" s="144" t="n"/>
      <c r="AF24" s="145" t="n"/>
      <c r="AG24" s="143">
        <f>Invoice!$B$76</f>
        <v/>
      </c>
      <c r="AH24" s="144" t="n"/>
      <c r="AI24" s="145" t="n"/>
      <c r="AJ24" s="143" t="inlineStr">
        <is>
          <t>Directions</t>
        </is>
      </c>
      <c r="AK24" s="144" t="n"/>
      <c r="AL24" s="145" t="n"/>
    </row>
    <row r="25" ht="18.75" customFormat="1" customHeight="1" s="76">
      <c r="B25" s="146" t="n"/>
      <c r="C25" s="147" t="n"/>
      <c r="D25" s="144" t="n"/>
      <c r="E25" s="145" t="n"/>
      <c r="F25" s="147" t="n">
        <v>315</v>
      </c>
      <c r="G25" s="144" t="n"/>
      <c r="H25" s="145" t="n"/>
      <c r="I25" s="147" t="n"/>
      <c r="J25" s="144" t="n"/>
      <c r="K25" s="145" t="n"/>
      <c r="L25" s="147" t="n"/>
      <c r="M25" s="144" t="n"/>
      <c r="N25" s="145" t="n"/>
      <c r="O25" s="147" t="n"/>
      <c r="P25" s="144" t="n"/>
      <c r="Q25" s="145" t="n"/>
      <c r="R25" s="147" t="n"/>
      <c r="S25" s="144" t="n"/>
      <c r="T25" s="145" t="n"/>
      <c r="U25" s="147" t="n"/>
      <c r="V25" s="144" t="n"/>
      <c r="W25" s="145" t="n"/>
      <c r="X25" s="147" t="n"/>
      <c r="Y25" s="144" t="n"/>
      <c r="Z25" s="145" t="n"/>
      <c r="AA25" s="147" t="n"/>
      <c r="AB25" s="144" t="n"/>
      <c r="AC25" s="145" t="n"/>
      <c r="AD25" s="147" t="n"/>
      <c r="AE25" s="144" t="n"/>
      <c r="AF25" s="145" t="n"/>
      <c r="AG25" s="147" t="n"/>
      <c r="AH25" s="144" t="n"/>
      <c r="AI25" s="145" t="n"/>
      <c r="AJ25" s="147" t="n"/>
      <c r="AK25" s="144" t="n"/>
      <c r="AL25" s="145" t="n"/>
    </row>
    <row r="26" ht="18.75" customHeight="1" s="121">
      <c r="B26" s="146" t="n"/>
      <c r="C26" s="148" t="inlineStr">
        <is>
          <t>monthly unit price($)</t>
        </is>
      </c>
      <c r="D26" s="145" t="n"/>
      <c r="E26" s="54" t="inlineStr">
        <is>
          <t>amount</t>
        </is>
      </c>
      <c r="F26" s="148" t="inlineStr">
        <is>
          <t>monthly unit price($)</t>
        </is>
      </c>
      <c r="G26" s="145" t="n"/>
      <c r="H26" s="54" t="inlineStr">
        <is>
          <t>amount</t>
        </is>
      </c>
      <c r="I26" s="148" t="inlineStr">
        <is>
          <t xml:space="preserve">monthly unit price($) </t>
        </is>
      </c>
      <c r="J26" s="145" t="n"/>
      <c r="K26" s="54" t="inlineStr">
        <is>
          <t>amount</t>
        </is>
      </c>
      <c r="L26" s="148" t="inlineStr">
        <is>
          <t xml:space="preserve">monthly unit price($) </t>
        </is>
      </c>
      <c r="M26" s="145" t="n"/>
      <c r="N26" s="54" t="inlineStr">
        <is>
          <t>amount</t>
        </is>
      </c>
      <c r="O26" s="148" t="inlineStr">
        <is>
          <t xml:space="preserve">monthly unit price($) </t>
        </is>
      </c>
      <c r="P26" s="145" t="n"/>
      <c r="Q26" s="54" t="inlineStr">
        <is>
          <t>amount</t>
        </is>
      </c>
      <c r="R26" s="148" t="inlineStr">
        <is>
          <t xml:space="preserve">monthly unit price($) </t>
        </is>
      </c>
      <c r="S26" s="145" t="n"/>
      <c r="T26" s="54" t="inlineStr">
        <is>
          <t>amount</t>
        </is>
      </c>
      <c r="U26" s="148" t="inlineStr">
        <is>
          <t xml:space="preserve">monthly unit price($) </t>
        </is>
      </c>
      <c r="V26" s="145" t="n"/>
      <c r="W26" s="54" t="inlineStr">
        <is>
          <t>amount</t>
        </is>
      </c>
      <c r="X26" s="148" t="inlineStr">
        <is>
          <t xml:space="preserve">monthly unit price($) </t>
        </is>
      </c>
      <c r="Y26" s="145" t="n"/>
      <c r="Z26" s="54" t="inlineStr">
        <is>
          <t>amount</t>
        </is>
      </c>
      <c r="AA26" s="148" t="inlineStr">
        <is>
          <t xml:space="preserve">monthly unit price($) </t>
        </is>
      </c>
      <c r="AB26" s="145" t="n"/>
      <c r="AC26" s="54" t="inlineStr">
        <is>
          <t>amount</t>
        </is>
      </c>
      <c r="AD26" s="148" t="inlineStr">
        <is>
          <t xml:space="preserve">monthly unit price($) </t>
        </is>
      </c>
      <c r="AE26" s="145" t="n"/>
      <c r="AF26" s="54" t="inlineStr">
        <is>
          <t>amount</t>
        </is>
      </c>
      <c r="AG26" s="148" t="inlineStr">
        <is>
          <t xml:space="preserve">monthly unit price($) </t>
        </is>
      </c>
      <c r="AH26" s="145" t="n"/>
      <c r="AI26" s="54" t="inlineStr">
        <is>
          <t>amount</t>
        </is>
      </c>
      <c r="AJ26" s="148" t="inlineStr">
        <is>
          <t xml:space="preserve">monthly unit price($) </t>
        </is>
      </c>
      <c r="AK26" s="145" t="n"/>
      <c r="AL26" s="54" t="inlineStr">
        <is>
          <t>amount</t>
        </is>
      </c>
    </row>
    <row r="27" ht="18.75" customHeight="1" s="121">
      <c r="B27" s="149" t="n"/>
      <c r="C27" s="150">
        <f>Invoice!$I$15/Invoice!$C$10</f>
        <v/>
      </c>
      <c r="D27" s="145" t="n"/>
      <c r="E27" s="151">
        <f>C25*C27</f>
        <v/>
      </c>
      <c r="F27" s="150">
        <f>Invoice!$I$27/Invoice!$C$22</f>
        <v/>
      </c>
      <c r="G27" s="145" t="n"/>
      <c r="H27" s="151">
        <f>F25*F27</f>
        <v/>
      </c>
      <c r="I27" s="150">
        <f>Invoice!$I$33/Invoice!$C$28</f>
        <v/>
      </c>
      <c r="J27" s="145" t="n"/>
      <c r="K27" s="151">
        <f>I25*I27</f>
        <v/>
      </c>
      <c r="L27" s="150">
        <f>L13</f>
        <v/>
      </c>
      <c r="M27" s="145" t="n"/>
      <c r="N27" s="151">
        <f>L25*L27</f>
        <v/>
      </c>
      <c r="O27" s="150">
        <f>Invoice!$I$45/Invoice!$C$40</f>
        <v/>
      </c>
      <c r="P27" s="145" t="n"/>
      <c r="Q27" s="151">
        <f>O25*O27</f>
        <v/>
      </c>
      <c r="R27" s="150">
        <f>Invoice!$I$51/Invoice!$C$46</f>
        <v/>
      </c>
      <c r="S27" s="145" t="n"/>
      <c r="T27" s="151">
        <f>R25*R27</f>
        <v/>
      </c>
      <c r="U27" s="150">
        <f>Invoice!$I$57/Invoice!$C$52</f>
        <v/>
      </c>
      <c r="V27" s="145" t="n"/>
      <c r="W27" s="151">
        <f>U25*U27</f>
        <v/>
      </c>
      <c r="X27" s="150">
        <f>Invoice!$I$63/Invoice!$C$58</f>
        <v/>
      </c>
      <c r="Y27" s="145" t="n"/>
      <c r="Z27" s="151">
        <f>X25*X27</f>
        <v/>
      </c>
      <c r="AA27" s="150">
        <f>Invoice!$I$69/Invoice!$C$64</f>
        <v/>
      </c>
      <c r="AB27" s="145" t="n"/>
      <c r="AC27" s="151">
        <f>AA25*AA27</f>
        <v/>
      </c>
      <c r="AD27" s="152">
        <f>Invoice!$I$75/Invoice!$C$70</f>
        <v/>
      </c>
      <c r="AE27" s="145" t="n"/>
      <c r="AF27" s="151">
        <f>AD25*AD27</f>
        <v/>
      </c>
      <c r="AG27" s="152">
        <f>Invoice!$I$81/Invoice!$C$76</f>
        <v/>
      </c>
      <c r="AH27" s="145" t="n"/>
      <c r="AI27" s="151">
        <f>AG25*AG27</f>
        <v/>
      </c>
      <c r="AJ27" s="152">
        <f>AJ20</f>
        <v/>
      </c>
      <c r="AK27" s="145" t="n"/>
      <c r="AL27" s="151">
        <f>AJ25*AJ27</f>
        <v/>
      </c>
    </row>
    <row r="28" ht="18.75" customHeight="1" s="121">
      <c r="B28" s="153" t="inlineStr">
        <is>
          <t>toal($)</t>
        </is>
      </c>
      <c r="C28" s="144" t="n"/>
      <c r="D28" s="145" t="n"/>
      <c r="E28" s="154">
        <f>ROUND(SUM(E27,H27,K27,N27,Q27,T27,W27,Z27,AC27,AF27,AI27),0)</f>
        <v/>
      </c>
      <c r="F28" s="155" t="n"/>
      <c r="G28" s="65" t="n"/>
      <c r="H28" s="156" t="n"/>
      <c r="I28" s="155" t="n"/>
      <c r="J28" s="65" t="n"/>
      <c r="K28" s="156" t="n"/>
      <c r="L28" s="155" t="n"/>
      <c r="M28" s="65" t="n"/>
      <c r="N28" s="156" t="n"/>
      <c r="O28" s="155" t="n"/>
      <c r="P28" s="65" t="n"/>
      <c r="Q28" s="156" t="n"/>
      <c r="R28" s="155" t="n"/>
      <c r="S28" s="65" t="n"/>
      <c r="T28" s="156" t="n"/>
      <c r="U28" s="155" t="n"/>
      <c r="V28" s="65" t="n"/>
      <c r="W28" s="156" t="n"/>
      <c r="X28" s="155" t="n"/>
      <c r="Y28" s="65" t="n"/>
      <c r="Z28" s="156" t="n"/>
      <c r="AA28" s="155" t="n"/>
      <c r="AB28" s="65" t="n"/>
      <c r="AC28" s="156" t="n"/>
      <c r="AD28" s="157" t="n"/>
      <c r="AE28" s="158" t="n"/>
      <c r="AF28" s="156" t="n"/>
      <c r="AG28" s="157" t="n"/>
      <c r="AH28" s="158" t="n"/>
      <c r="AI28" s="156" t="n"/>
    </row>
    <row r="29" ht="18.75" customHeight="1" s="121">
      <c r="B29" s="159" t="inlineStr">
        <is>
          <t>toal(\)</t>
        </is>
      </c>
      <c r="C29" s="144" t="n"/>
      <c r="D29" s="145" t="n"/>
      <c r="E29" s="160">
        <f>ROUNDUP(E28*$C$8,0)</f>
        <v/>
      </c>
      <c r="F29" s="0" t="n"/>
      <c r="G29" s="0" t="n"/>
      <c r="H29" s="0" t="n"/>
      <c r="I29" s="0" t="n"/>
      <c r="J29" s="0" t="n"/>
      <c r="K29" s="0" t="n"/>
      <c r="L29" s="0" t="n"/>
      <c r="M29" s="0" t="n"/>
      <c r="N29" s="0" t="n"/>
      <c r="O29" s="0" t="n"/>
      <c r="P29" s="0" t="n"/>
      <c r="Q29" s="0" t="n"/>
      <c r="R29" s="0" t="n"/>
      <c r="S29" s="0" t="n"/>
      <c r="T29" s="0" t="n"/>
      <c r="U29" s="0" t="n"/>
      <c r="V29" s="0" t="n"/>
      <c r="W29" s="0" t="n"/>
      <c r="X29" s="0" t="n"/>
      <c r="Y29" s="0" t="n"/>
      <c r="Z29" s="0" t="n"/>
      <c r="AA29" s="0" t="n"/>
      <c r="AB29" s="0" t="n"/>
      <c r="AC29" s="0" t="n"/>
      <c r="AD29" s="0" t="n"/>
      <c r="AE29" s="0" t="n"/>
      <c r="AF29" s="0" t="n"/>
    </row>
    <row r="30" ht="18.75" customHeight="1" s="121">
      <c r="B30" s="0" t="n"/>
      <c r="C30" s="0" t="n"/>
      <c r="D30" s="0" t="n"/>
      <c r="E30" s="0" t="n"/>
      <c r="F30" s="0" t="n"/>
      <c r="G30" s="0" t="n"/>
      <c r="H30" s="0" t="n"/>
      <c r="I30" s="0" t="n"/>
      <c r="J30" s="0" t="n"/>
      <c r="K30" s="0" t="n"/>
      <c r="L30" s="0" t="n"/>
      <c r="M30" s="0" t="n"/>
      <c r="N30" s="0" t="n"/>
      <c r="O30" s="0" t="n"/>
      <c r="P30" s="0" t="n"/>
      <c r="Q30" s="0" t="n"/>
      <c r="R30" s="0" t="n"/>
      <c r="S30" s="0" t="n"/>
      <c r="T30" s="0" t="n"/>
      <c r="U30" s="0" t="n"/>
      <c r="V30" s="0" t="n"/>
      <c r="W30" s="0" t="n"/>
      <c r="X30" s="0" t="n"/>
      <c r="Y30" s="0" t="n"/>
      <c r="Z30" s="0" t="n"/>
      <c r="AA30" s="0" t="n"/>
      <c r="AB30" s="0" t="n"/>
      <c r="AC30" s="0" t="n"/>
      <c r="AD30" s="0" t="n"/>
      <c r="AE30" s="0" t="n"/>
      <c r="AF30" s="0" t="n"/>
    </row>
    <row r="31" ht="42" customHeight="1" s="121">
      <c r="B31" s="142" t="inlineStr">
        <is>
          <t>Coupang-04</t>
        </is>
      </c>
      <c r="C31" s="143">
        <f>Invoice!$B$10</f>
        <v/>
      </c>
      <c r="D31" s="144" t="n"/>
      <c r="E31" s="145" t="n"/>
      <c r="F31" s="143">
        <f>Invoice!$B$22</f>
        <v/>
      </c>
      <c r="G31" s="144" t="n"/>
      <c r="H31" s="145" t="n"/>
      <c r="I31" s="143">
        <f>Invoice!$B$28</f>
        <v/>
      </c>
      <c r="J31" s="144" t="n"/>
      <c r="K31" s="145" t="n"/>
      <c r="L31" s="143">
        <f>Invoice!$B$34</f>
        <v/>
      </c>
      <c r="M31" s="144" t="n"/>
      <c r="N31" s="145" t="n"/>
      <c r="O31" s="143">
        <f>Invoice!$B$40</f>
        <v/>
      </c>
      <c r="P31" s="144" t="n"/>
      <c r="Q31" s="145" t="n"/>
      <c r="R31" s="143">
        <f>Invoice!$B$46</f>
        <v/>
      </c>
      <c r="S31" s="144" t="n"/>
      <c r="T31" s="145" t="n"/>
      <c r="U31" s="143">
        <f>Invoice!$B$52</f>
        <v/>
      </c>
      <c r="V31" s="144" t="n"/>
      <c r="W31" s="145" t="n"/>
      <c r="X31" s="143">
        <f>Invoice!$B$58</f>
        <v/>
      </c>
      <c r="Y31" s="144" t="n"/>
      <c r="Z31" s="145" t="n"/>
      <c r="AA31" s="143">
        <f>Invoice!$B$64</f>
        <v/>
      </c>
      <c r="AB31" s="144" t="n"/>
      <c r="AC31" s="145" t="n"/>
      <c r="AD31" s="143">
        <f>Invoice!$B$70</f>
        <v/>
      </c>
      <c r="AE31" s="144" t="n"/>
      <c r="AF31" s="145" t="n"/>
      <c r="AG31" s="143">
        <f>Invoice!$B$76</f>
        <v/>
      </c>
      <c r="AH31" s="144" t="n"/>
      <c r="AI31" s="145" t="n"/>
    </row>
    <row r="32" ht="18.75" customFormat="1" customHeight="1" s="76">
      <c r="B32" s="146" t="n"/>
      <c r="C32" s="147" t="n">
        <v>29945</v>
      </c>
      <c r="D32" s="144" t="n"/>
      <c r="E32" s="145" t="n"/>
      <c r="F32" s="147" t="n">
        <v>173489</v>
      </c>
      <c r="G32" s="144" t="n"/>
      <c r="H32" s="145" t="n"/>
      <c r="I32" s="147" t="n">
        <v>11287</v>
      </c>
      <c r="J32" s="144" t="n"/>
      <c r="K32" s="145" t="n"/>
      <c r="L32" s="147" t="n">
        <v>23</v>
      </c>
      <c r="M32" s="144" t="n"/>
      <c r="N32" s="145" t="n"/>
      <c r="O32" s="147" t="n">
        <v>0</v>
      </c>
      <c r="P32" s="144" t="n"/>
      <c r="Q32" s="145" t="n"/>
      <c r="R32" s="147" t="n">
        <v>51983</v>
      </c>
      <c r="S32" s="144" t="n"/>
      <c r="T32" s="145" t="n"/>
      <c r="U32" s="147" t="n">
        <v>61541</v>
      </c>
      <c r="V32" s="144" t="n"/>
      <c r="W32" s="145" t="n"/>
      <c r="X32" s="147" t="n">
        <v>61541</v>
      </c>
      <c r="Y32" s="144" t="n"/>
      <c r="Z32" s="145" t="n"/>
      <c r="AA32" s="147" t="n">
        <v>61541</v>
      </c>
      <c r="AB32" s="144" t="n"/>
      <c r="AC32" s="145" t="n"/>
      <c r="AD32" s="147" t="n">
        <v>9556</v>
      </c>
      <c r="AE32" s="144" t="n"/>
      <c r="AF32" s="145" t="n"/>
      <c r="AG32" s="147" t="n">
        <v>0</v>
      </c>
      <c r="AH32" s="144" t="n"/>
      <c r="AI32" s="145" t="n"/>
    </row>
    <row r="33" ht="18.75" customHeight="1" s="121">
      <c r="B33" s="146" t="n"/>
      <c r="C33" s="148" t="inlineStr">
        <is>
          <t>monthly unit price($)</t>
        </is>
      </c>
      <c r="D33" s="145" t="n"/>
      <c r="E33" s="54" t="inlineStr">
        <is>
          <t>amount</t>
        </is>
      </c>
      <c r="F33" s="148" t="inlineStr">
        <is>
          <t>monthly unit price($)</t>
        </is>
      </c>
      <c r="G33" s="145" t="n"/>
      <c r="H33" s="54" t="inlineStr">
        <is>
          <t>amount</t>
        </is>
      </c>
      <c r="I33" s="148" t="inlineStr">
        <is>
          <t xml:space="preserve">monthly unit price($) </t>
        </is>
      </c>
      <c r="J33" s="145" t="n"/>
      <c r="K33" s="54" t="inlineStr">
        <is>
          <t>amount</t>
        </is>
      </c>
      <c r="L33" s="148" t="inlineStr">
        <is>
          <t xml:space="preserve">monthly unit price($) </t>
        </is>
      </c>
      <c r="M33" s="145" t="n"/>
      <c r="N33" s="54" t="inlineStr">
        <is>
          <t>amount</t>
        </is>
      </c>
      <c r="O33" s="148" t="inlineStr">
        <is>
          <t xml:space="preserve">monthly unit price($) </t>
        </is>
      </c>
      <c r="P33" s="145" t="n"/>
      <c r="Q33" s="54" t="inlineStr">
        <is>
          <t>amount</t>
        </is>
      </c>
      <c r="R33" s="148" t="inlineStr">
        <is>
          <t xml:space="preserve">monthly unit price($) </t>
        </is>
      </c>
      <c r="S33" s="145" t="n"/>
      <c r="T33" s="54" t="inlineStr">
        <is>
          <t>amount</t>
        </is>
      </c>
      <c r="U33" s="148" t="inlineStr">
        <is>
          <t xml:space="preserve">monthly unit price($) </t>
        </is>
      </c>
      <c r="V33" s="145" t="n"/>
      <c r="W33" s="54" t="inlineStr">
        <is>
          <t>amount</t>
        </is>
      </c>
      <c r="X33" s="148" t="inlineStr">
        <is>
          <t xml:space="preserve">monthly unit price($) </t>
        </is>
      </c>
      <c r="Y33" s="145" t="n"/>
      <c r="Z33" s="54" t="inlineStr">
        <is>
          <t>amount</t>
        </is>
      </c>
      <c r="AA33" s="148" t="inlineStr">
        <is>
          <t xml:space="preserve">monthly unit price($) </t>
        </is>
      </c>
      <c r="AB33" s="145" t="n"/>
      <c r="AC33" s="54" t="inlineStr">
        <is>
          <t>amount</t>
        </is>
      </c>
      <c r="AD33" s="148" t="inlineStr">
        <is>
          <t xml:space="preserve">monthly unit price($) </t>
        </is>
      </c>
      <c r="AE33" s="145" t="n"/>
      <c r="AF33" s="54" t="inlineStr">
        <is>
          <t>amount</t>
        </is>
      </c>
      <c r="AG33" s="148" t="inlineStr">
        <is>
          <t xml:space="preserve">monthly unit price($) </t>
        </is>
      </c>
      <c r="AH33" s="145" t="n"/>
      <c r="AI33" s="54" t="inlineStr">
        <is>
          <t>amount</t>
        </is>
      </c>
    </row>
    <row r="34" ht="18.75" customHeight="1" s="121">
      <c r="B34" s="149" t="n"/>
      <c r="C34" s="150">
        <f>Invoice!$I$15/Invoice!$C$10</f>
        <v/>
      </c>
      <c r="D34" s="145" t="n"/>
      <c r="E34" s="151">
        <f>C32*C34</f>
        <v/>
      </c>
      <c r="F34" s="150">
        <f>Invoice!$I$27/Invoice!$C$22</f>
        <v/>
      </c>
      <c r="G34" s="145" t="n"/>
      <c r="H34" s="151">
        <f>F32*F34</f>
        <v/>
      </c>
      <c r="I34" s="150">
        <f>Invoice!$I$33/Invoice!$C$28</f>
        <v/>
      </c>
      <c r="J34" s="145" t="n"/>
      <c r="K34" s="151">
        <f>I32*I34</f>
        <v/>
      </c>
      <c r="L34" s="150">
        <f>L13</f>
        <v/>
      </c>
      <c r="M34" s="145" t="n"/>
      <c r="N34" s="151">
        <f>L32*L34</f>
        <v/>
      </c>
      <c r="O34" s="150">
        <f>Invoice!$I$45/Invoice!$C$40</f>
        <v/>
      </c>
      <c r="P34" s="145" t="n"/>
      <c r="Q34" s="151">
        <f>O32*O34</f>
        <v/>
      </c>
      <c r="R34" s="150">
        <f>Invoice!$I$51/Invoice!$C$46</f>
        <v/>
      </c>
      <c r="S34" s="145" t="n"/>
      <c r="T34" s="151">
        <f>R32*R34</f>
        <v/>
      </c>
      <c r="U34" s="150">
        <f>Invoice!$I$57/Invoice!$C$52</f>
        <v/>
      </c>
      <c r="V34" s="145" t="n"/>
      <c r="W34" s="151">
        <f>U32*U34</f>
        <v/>
      </c>
      <c r="X34" s="150">
        <f>Invoice!$I$63/Invoice!$C$58</f>
        <v/>
      </c>
      <c r="Y34" s="145" t="n"/>
      <c r="Z34" s="151">
        <f>X32*X34</f>
        <v/>
      </c>
      <c r="AA34" s="150">
        <f>Invoice!$I$69/Invoice!$C$64</f>
        <v/>
      </c>
      <c r="AB34" s="145" t="n"/>
      <c r="AC34" s="151">
        <f>AA32*AA34</f>
        <v/>
      </c>
      <c r="AD34" s="152">
        <f>Invoice!$I$75/Invoice!$C$70</f>
        <v/>
      </c>
      <c r="AE34" s="145" t="n"/>
      <c r="AF34" s="151">
        <f>AD32*AD34</f>
        <v/>
      </c>
      <c r="AG34" s="152">
        <f>Invoice!$I$81/Invoice!$C$76</f>
        <v/>
      </c>
      <c r="AH34" s="145" t="n"/>
      <c r="AI34" s="151">
        <f>AG32*AG34</f>
        <v/>
      </c>
    </row>
    <row r="35" ht="18.75" customHeight="1" s="121">
      <c r="B35" s="153" t="inlineStr">
        <is>
          <t>toal($)</t>
        </is>
      </c>
      <c r="C35" s="144" t="n"/>
      <c r="D35" s="145" t="n"/>
      <c r="E35" s="154">
        <f>ROUND(SUM(E34,H34,K34,N34,Q34,T34,W34,Z34,AC34,AF34,AI34),0)</f>
        <v/>
      </c>
      <c r="F35" s="155" t="n"/>
      <c r="G35" s="65" t="n"/>
      <c r="H35" s="156" t="n"/>
      <c r="I35" s="155" t="n"/>
      <c r="J35" s="65" t="n"/>
      <c r="K35" s="156" t="n"/>
      <c r="L35" s="155" t="n"/>
      <c r="M35" s="65" t="n"/>
      <c r="N35" s="156" t="n"/>
      <c r="O35" s="155" t="n"/>
      <c r="P35" s="65" t="n"/>
      <c r="Q35" s="156" t="n"/>
      <c r="R35" s="155" t="n"/>
      <c r="S35" s="65" t="n"/>
      <c r="T35" s="156" t="n"/>
      <c r="U35" s="155" t="n"/>
      <c r="V35" s="65" t="n"/>
      <c r="W35" s="156" t="n"/>
      <c r="X35" s="155" t="n"/>
      <c r="Y35" s="65" t="n"/>
      <c r="Z35" s="156" t="n"/>
      <c r="AA35" s="155" t="n"/>
      <c r="AB35" s="65" t="n"/>
      <c r="AC35" s="156" t="n"/>
      <c r="AD35" s="157" t="n"/>
      <c r="AE35" s="158" t="n"/>
      <c r="AF35" s="156" t="n"/>
      <c r="AG35" s="157" t="n"/>
      <c r="AH35" s="158" t="n"/>
      <c r="AI35" s="156" t="n"/>
    </row>
    <row r="36" ht="18.75" customHeight="1" s="121">
      <c r="B36" s="159" t="inlineStr">
        <is>
          <t>toal(\)</t>
        </is>
      </c>
      <c r="C36" s="144" t="n"/>
      <c r="D36" s="145" t="n"/>
      <c r="E36" s="160">
        <f>ROUND(E35*$C$8,0)</f>
        <v/>
      </c>
      <c r="F36" s="0" t="n"/>
      <c r="G36" s="0" t="n"/>
      <c r="H36" s="0" t="n"/>
      <c r="I36" s="0" t="n"/>
      <c r="J36" s="0" t="n"/>
      <c r="K36" s="0" t="n"/>
      <c r="L36" s="0" t="n"/>
      <c r="M36" s="0" t="n"/>
      <c r="N36" s="0" t="n"/>
      <c r="O36" s="0" t="n"/>
      <c r="P36" s="0" t="n"/>
      <c r="Q36" s="0" t="n"/>
      <c r="R36" s="0" t="n"/>
      <c r="S36" s="0" t="n"/>
      <c r="T36" s="0" t="n"/>
      <c r="U36" s="0" t="n"/>
      <c r="V36" s="0" t="n"/>
      <c r="W36" s="0" t="n"/>
      <c r="X36" s="0" t="n"/>
      <c r="Y36" s="0" t="n"/>
      <c r="Z36" s="0" t="n"/>
      <c r="AA36" s="0" t="n"/>
      <c r="AB36" s="0" t="n"/>
      <c r="AC36" s="0" t="n"/>
      <c r="AD36" s="0" t="n"/>
      <c r="AE36" s="0" t="n"/>
      <c r="AF36" s="0" t="n"/>
    </row>
    <row r="37" ht="18.75" customHeight="1" s="121">
      <c r="B37" s="0" t="n"/>
      <c r="C37" s="0" t="n"/>
      <c r="D37" s="0" t="n"/>
      <c r="E37" s="0" t="n"/>
      <c r="F37" s="0" t="n"/>
      <c r="G37" s="0" t="n"/>
      <c r="H37" s="0" t="n"/>
      <c r="I37" s="0" t="n"/>
      <c r="J37" s="0" t="n"/>
      <c r="K37" s="0" t="n"/>
      <c r="L37" s="0" t="n"/>
      <c r="M37" s="0" t="n"/>
      <c r="N37" s="0" t="n"/>
      <c r="O37" s="0" t="n"/>
      <c r="P37" s="0" t="n"/>
      <c r="Q37" s="0" t="n"/>
      <c r="R37" s="0" t="n"/>
      <c r="S37" s="0" t="n"/>
      <c r="T37" s="0" t="n"/>
      <c r="U37" s="0" t="n"/>
      <c r="V37" s="0" t="n"/>
      <c r="W37" s="0" t="n"/>
      <c r="X37" s="0" t="n"/>
      <c r="Y37" s="0" t="n"/>
      <c r="Z37" s="0" t="n"/>
      <c r="AA37" s="0" t="n"/>
      <c r="AB37" s="0" t="n"/>
      <c r="AC37" s="0" t="n"/>
      <c r="AD37" s="0" t="n"/>
      <c r="AE37" s="0" t="n"/>
      <c r="AF37" s="0" t="n"/>
    </row>
    <row r="38" ht="42" customHeight="1" s="121">
      <c r="B38" s="142" t="inlineStr">
        <is>
          <t>Coupang-05</t>
        </is>
      </c>
      <c r="C38" s="143">
        <f>Invoice!$B$10</f>
        <v/>
      </c>
      <c r="D38" s="144" t="n"/>
      <c r="E38" s="145" t="n"/>
      <c r="F38" s="143">
        <f>Invoice!$B$22</f>
        <v/>
      </c>
      <c r="G38" s="144" t="n"/>
      <c r="H38" s="145" t="n"/>
      <c r="I38" s="143">
        <f>Invoice!$B$28</f>
        <v/>
      </c>
      <c r="J38" s="144" t="n"/>
      <c r="K38" s="145" t="n"/>
      <c r="L38" s="143">
        <f>Invoice!$B$34</f>
        <v/>
      </c>
      <c r="M38" s="144" t="n"/>
      <c r="N38" s="145" t="n"/>
      <c r="O38" s="143">
        <f>Invoice!$B$40</f>
        <v/>
      </c>
      <c r="P38" s="144" t="n"/>
      <c r="Q38" s="145" t="n"/>
      <c r="R38" s="143">
        <f>Invoice!$B$46</f>
        <v/>
      </c>
      <c r="S38" s="144" t="n"/>
      <c r="T38" s="145" t="n"/>
      <c r="U38" s="143">
        <f>Invoice!$B$52</f>
        <v/>
      </c>
      <c r="V38" s="144" t="n"/>
      <c r="W38" s="145" t="n"/>
      <c r="X38" s="143">
        <f>Invoice!$B$58</f>
        <v/>
      </c>
      <c r="Y38" s="144" t="n"/>
      <c r="Z38" s="145" t="n"/>
      <c r="AA38" s="143">
        <f>Invoice!$B$64</f>
        <v/>
      </c>
      <c r="AB38" s="144" t="n"/>
      <c r="AC38" s="145" t="n"/>
      <c r="AD38" s="143">
        <f>Invoice!$B$70</f>
        <v/>
      </c>
      <c r="AE38" s="144" t="n"/>
      <c r="AF38" s="145" t="n"/>
      <c r="AG38" s="143">
        <f>Invoice!$B$76</f>
        <v/>
      </c>
      <c r="AH38" s="144" t="n"/>
      <c r="AI38" s="145" t="n"/>
    </row>
    <row r="39" ht="18.75" customFormat="1" customHeight="1" s="76">
      <c r="B39" s="146" t="n"/>
      <c r="C39" s="147" t="n">
        <v>262</v>
      </c>
      <c r="D39" s="144" t="n"/>
      <c r="E39" s="145" t="n"/>
      <c r="F39" s="147" t="n">
        <v>680</v>
      </c>
      <c r="G39" s="144" t="n"/>
      <c r="H39" s="145" t="n"/>
      <c r="I39" s="147" t="n">
        <v>0</v>
      </c>
      <c r="J39" s="144" t="n"/>
      <c r="K39" s="145" t="n"/>
      <c r="L39" s="147" t="n">
        <v>0</v>
      </c>
      <c r="M39" s="144" t="n"/>
      <c r="N39" s="145" t="n"/>
      <c r="O39" s="147" t="n">
        <v>1887</v>
      </c>
      <c r="P39" s="144" t="n"/>
      <c r="Q39" s="145" t="n"/>
      <c r="R39" s="147" t="n">
        <v>64</v>
      </c>
      <c r="S39" s="144" t="n"/>
      <c r="T39" s="145" t="n"/>
      <c r="U39" s="147" t="n">
        <v>250</v>
      </c>
      <c r="V39" s="144" t="n"/>
      <c r="W39" s="145" t="n"/>
      <c r="X39" s="147" t="n">
        <v>250</v>
      </c>
      <c r="Y39" s="144" t="n"/>
      <c r="Z39" s="145" t="n"/>
      <c r="AA39" s="147" t="n">
        <v>250</v>
      </c>
      <c r="AB39" s="144" t="n"/>
      <c r="AC39" s="145" t="n"/>
      <c r="AD39" s="147" t="n">
        <v>186</v>
      </c>
      <c r="AE39" s="144" t="n"/>
      <c r="AF39" s="145" t="n"/>
      <c r="AG39" s="147" t="n">
        <v>0</v>
      </c>
      <c r="AH39" s="144" t="n"/>
      <c r="AI39" s="145" t="n"/>
    </row>
    <row r="40" ht="18.75" customHeight="1" s="121">
      <c r="B40" s="146" t="n"/>
      <c r="C40" s="148" t="inlineStr">
        <is>
          <t>monthly unit price($)</t>
        </is>
      </c>
      <c r="D40" s="145" t="n"/>
      <c r="E40" s="54" t="inlineStr">
        <is>
          <t>amount</t>
        </is>
      </c>
      <c r="F40" s="148" t="inlineStr">
        <is>
          <t>monthly unit price($)</t>
        </is>
      </c>
      <c r="G40" s="145" t="n"/>
      <c r="H40" s="54" t="inlineStr">
        <is>
          <t>amount</t>
        </is>
      </c>
      <c r="I40" s="148" t="inlineStr">
        <is>
          <t xml:space="preserve">monthly unit price($) </t>
        </is>
      </c>
      <c r="J40" s="145" t="n"/>
      <c r="K40" s="54" t="inlineStr">
        <is>
          <t>amount</t>
        </is>
      </c>
      <c r="L40" s="148" t="inlineStr">
        <is>
          <t xml:space="preserve">monthly unit price($) </t>
        </is>
      </c>
      <c r="M40" s="145" t="n"/>
      <c r="N40" s="54" t="inlineStr">
        <is>
          <t>amount</t>
        </is>
      </c>
      <c r="O40" s="148" t="inlineStr">
        <is>
          <t xml:space="preserve">monthly unit price($) </t>
        </is>
      </c>
      <c r="P40" s="145" t="n"/>
      <c r="Q40" s="54" t="inlineStr">
        <is>
          <t>amount</t>
        </is>
      </c>
      <c r="R40" s="148" t="inlineStr">
        <is>
          <t xml:space="preserve">monthly unit price($) </t>
        </is>
      </c>
      <c r="S40" s="145" t="n"/>
      <c r="T40" s="54" t="inlineStr">
        <is>
          <t>amount</t>
        </is>
      </c>
      <c r="U40" s="148" t="inlineStr">
        <is>
          <t xml:space="preserve">monthly unit price($) </t>
        </is>
      </c>
      <c r="V40" s="145" t="n"/>
      <c r="W40" s="54" t="inlineStr">
        <is>
          <t>amount</t>
        </is>
      </c>
      <c r="X40" s="148" t="inlineStr">
        <is>
          <t xml:space="preserve">monthly unit price($) </t>
        </is>
      </c>
      <c r="Y40" s="145" t="n"/>
      <c r="Z40" s="54" t="inlineStr">
        <is>
          <t>amount</t>
        </is>
      </c>
      <c r="AA40" s="148" t="inlineStr">
        <is>
          <t xml:space="preserve">monthly unit price($) </t>
        </is>
      </c>
      <c r="AB40" s="145" t="n"/>
      <c r="AC40" s="54" t="inlineStr">
        <is>
          <t>amount</t>
        </is>
      </c>
      <c r="AD40" s="148" t="inlineStr">
        <is>
          <t xml:space="preserve">monthly unit price($) </t>
        </is>
      </c>
      <c r="AE40" s="145" t="n"/>
      <c r="AF40" s="54" t="inlineStr">
        <is>
          <t>amount</t>
        </is>
      </c>
      <c r="AG40" s="148" t="inlineStr">
        <is>
          <t xml:space="preserve">monthly unit price($) </t>
        </is>
      </c>
      <c r="AH40" s="145" t="n"/>
      <c r="AI40" s="54" t="inlineStr">
        <is>
          <t>amount</t>
        </is>
      </c>
    </row>
    <row r="41" ht="18.75" customHeight="1" s="121">
      <c r="B41" s="149" t="n"/>
      <c r="C41" s="150">
        <f>Invoice!$I$15/Invoice!$C$10</f>
        <v/>
      </c>
      <c r="D41" s="145" t="n"/>
      <c r="E41" s="151">
        <f>C39*C41</f>
        <v/>
      </c>
      <c r="F41" s="150">
        <f>Invoice!$I$27/Invoice!$C$22</f>
        <v/>
      </c>
      <c r="G41" s="145" t="n"/>
      <c r="H41" s="151">
        <f>F39*F41</f>
        <v/>
      </c>
      <c r="I41" s="150">
        <f>Invoice!$I$33/Invoice!$C$28</f>
        <v/>
      </c>
      <c r="J41" s="145" t="n"/>
      <c r="K41" s="151">
        <f>I39*I41</f>
        <v/>
      </c>
      <c r="L41" s="150">
        <f>L13</f>
        <v/>
      </c>
      <c r="M41" s="145" t="n"/>
      <c r="N41" s="151">
        <f>L39*L41</f>
        <v/>
      </c>
      <c r="O41" s="150">
        <f>Invoice!$I$45/Invoice!$C$40</f>
        <v/>
      </c>
      <c r="P41" s="145" t="n"/>
      <c r="Q41" s="151">
        <f>O39*O41</f>
        <v/>
      </c>
      <c r="R41" s="150">
        <f>Invoice!$I$51/Invoice!$C$46</f>
        <v/>
      </c>
      <c r="S41" s="145" t="n"/>
      <c r="T41" s="151">
        <f>R39*R41</f>
        <v/>
      </c>
      <c r="U41" s="150">
        <f>Invoice!$I$57/Invoice!$C$52</f>
        <v/>
      </c>
      <c r="V41" s="145" t="n"/>
      <c r="W41" s="151">
        <f>U39*U41</f>
        <v/>
      </c>
      <c r="X41" s="150">
        <f>Invoice!$I$63/Invoice!$C$58</f>
        <v/>
      </c>
      <c r="Y41" s="145" t="n"/>
      <c r="Z41" s="151">
        <f>X39*X41</f>
        <v/>
      </c>
      <c r="AA41" s="150">
        <f>Invoice!$I$69/Invoice!$C$64</f>
        <v/>
      </c>
      <c r="AB41" s="145" t="n"/>
      <c r="AC41" s="151">
        <f>AA39*AA41</f>
        <v/>
      </c>
      <c r="AD41" s="152">
        <f>Invoice!$I$75/Invoice!$C$70</f>
        <v/>
      </c>
      <c r="AE41" s="145" t="n"/>
      <c r="AF41" s="151">
        <f>AD39*AD41</f>
        <v/>
      </c>
      <c r="AG41" s="152">
        <f>Invoice!$I$81/Invoice!$C$76</f>
        <v/>
      </c>
      <c r="AH41" s="145" t="n"/>
      <c r="AI41" s="151">
        <f>AG39*AG41</f>
        <v/>
      </c>
    </row>
    <row r="42" ht="18.75" customHeight="1" s="121">
      <c r="B42" s="153" t="inlineStr">
        <is>
          <t>toal($)</t>
        </is>
      </c>
      <c r="C42" s="144" t="n"/>
      <c r="D42" s="145" t="n"/>
      <c r="E42" s="154">
        <f>ROUND(SUM(E41,H41,K41,N41,Q41,T41,W41,Z41,AC41,AF41,AI41),0)</f>
        <v/>
      </c>
      <c r="F42" s="155" t="n"/>
      <c r="G42" s="65" t="n"/>
      <c r="H42" s="156" t="n"/>
      <c r="I42" s="155" t="n"/>
      <c r="J42" s="65" t="n"/>
      <c r="K42" s="156" t="n"/>
      <c r="L42" s="155" t="n"/>
      <c r="M42" s="65" t="n"/>
      <c r="N42" s="156" t="n"/>
      <c r="O42" s="155" t="n"/>
      <c r="P42" s="65" t="n"/>
      <c r="Q42" s="156" t="n"/>
      <c r="R42" s="155" t="n"/>
      <c r="S42" s="65" t="n"/>
      <c r="T42" s="156" t="n"/>
      <c r="U42" s="155" t="n"/>
      <c r="V42" s="65" t="n"/>
      <c r="W42" s="156" t="n"/>
      <c r="X42" s="155" t="n"/>
      <c r="Y42" s="65" t="n"/>
      <c r="Z42" s="156" t="n"/>
      <c r="AA42" s="155" t="n"/>
      <c r="AB42" s="65" t="n"/>
      <c r="AC42" s="156" t="n"/>
      <c r="AD42" s="157" t="n"/>
      <c r="AE42" s="158" t="n"/>
      <c r="AF42" s="156" t="n"/>
      <c r="AG42" s="157" t="n"/>
      <c r="AH42" s="158" t="n"/>
      <c r="AI42" s="156" t="n"/>
    </row>
    <row r="43" ht="18.75" customHeight="1" s="121">
      <c r="B43" s="159" t="inlineStr">
        <is>
          <t>toal(\)</t>
        </is>
      </c>
      <c r="C43" s="144" t="n"/>
      <c r="D43" s="145" t="n"/>
      <c r="E43" s="160">
        <f>ROUND(E42*$C$8,0)</f>
        <v/>
      </c>
      <c r="F43" s="0" t="n"/>
      <c r="G43" s="0" t="n"/>
      <c r="H43" s="0" t="n"/>
      <c r="I43" s="0" t="n"/>
      <c r="J43" s="0" t="n"/>
      <c r="K43" s="0" t="n"/>
      <c r="L43" s="0" t="n"/>
      <c r="M43" s="0" t="n"/>
      <c r="N43" s="0" t="n"/>
      <c r="O43" s="0" t="n"/>
      <c r="P43" s="0" t="n"/>
      <c r="Q43" s="0" t="n"/>
      <c r="R43" s="0" t="n"/>
      <c r="S43" s="0" t="n"/>
      <c r="T43" s="0" t="n"/>
      <c r="U43" s="0" t="n"/>
      <c r="V43" s="0" t="n"/>
      <c r="W43" s="0" t="n"/>
      <c r="X43" s="0" t="n"/>
      <c r="Y43" s="0" t="n"/>
      <c r="Z43" s="0" t="n"/>
      <c r="AA43" s="0" t="n"/>
      <c r="AB43" s="0" t="n"/>
      <c r="AC43" s="0" t="n"/>
      <c r="AD43" s="0" t="n"/>
      <c r="AE43" s="0" t="n"/>
      <c r="AF43" s="0" t="n"/>
    </row>
    <row r="44" ht="18.75" customHeight="1" s="121">
      <c r="B44" s="69" t="n"/>
      <c r="C44" s="65" t="n"/>
      <c r="D44" s="65" t="n"/>
      <c r="E44" s="163" t="n"/>
      <c r="F44" s="0" t="n"/>
      <c r="G44" s="0" t="n"/>
      <c r="H44" s="0" t="n"/>
      <c r="I44" s="0" t="n"/>
      <c r="J44" s="0" t="n"/>
      <c r="K44" s="0" t="n"/>
      <c r="L44" s="0" t="n"/>
      <c r="M44" s="0" t="n"/>
      <c r="N44" s="0" t="n"/>
      <c r="O44" s="0" t="n"/>
      <c r="P44" s="0" t="n"/>
      <c r="Q44" s="0" t="n"/>
      <c r="R44" s="0" t="n"/>
      <c r="S44" s="0" t="n"/>
      <c r="T44" s="0" t="n"/>
      <c r="U44" s="0" t="n"/>
      <c r="V44" s="0" t="n"/>
      <c r="W44" s="0" t="n"/>
      <c r="X44" s="0" t="n"/>
      <c r="Y44" s="0" t="n"/>
      <c r="Z44" s="0" t="n"/>
      <c r="AA44" s="0" t="n"/>
      <c r="AB44" s="0" t="n"/>
      <c r="AC44" s="0" t="n"/>
      <c r="AD44" s="0" t="n"/>
      <c r="AE44" s="0" t="n"/>
      <c r="AF44" s="0" t="n"/>
    </row>
    <row r="45" ht="42" customHeight="1" s="121">
      <c r="B45" s="142" t="inlineStr">
        <is>
          <t>Butter - Google Search API</t>
        </is>
      </c>
      <c r="C45" s="143">
        <f>Invoice!$B$10</f>
        <v/>
      </c>
      <c r="D45" s="144" t="n"/>
      <c r="E45" s="145" t="n"/>
      <c r="F45" s="143">
        <f>Invoice!$B$22</f>
        <v/>
      </c>
      <c r="G45" s="144" t="n"/>
      <c r="H45" s="145" t="n"/>
      <c r="I45" s="143">
        <f>Invoice!$B$28</f>
        <v/>
      </c>
      <c r="J45" s="144" t="n"/>
      <c r="K45" s="145" t="n"/>
      <c r="L45" s="143">
        <f>Invoice!$B$34</f>
        <v/>
      </c>
      <c r="M45" s="144" t="n"/>
      <c r="N45" s="145" t="n"/>
      <c r="O45" s="143">
        <f>Invoice!$B$40</f>
        <v/>
      </c>
      <c r="P45" s="144" t="n"/>
      <c r="Q45" s="145" t="n"/>
      <c r="R45" s="143">
        <f>Invoice!$B$46</f>
        <v/>
      </c>
      <c r="S45" s="144" t="n"/>
      <c r="T45" s="145" t="n"/>
      <c r="U45" s="143">
        <f>Invoice!$B$52</f>
        <v/>
      </c>
      <c r="V45" s="144" t="n"/>
      <c r="W45" s="145" t="n"/>
      <c r="X45" s="143">
        <f>Invoice!$B$58</f>
        <v/>
      </c>
      <c r="Y45" s="144" t="n"/>
      <c r="Z45" s="145" t="n"/>
      <c r="AA45" s="143">
        <f>Invoice!$B$64</f>
        <v/>
      </c>
      <c r="AB45" s="144" t="n"/>
      <c r="AC45" s="145" t="n"/>
      <c r="AD45" s="143">
        <f>Invoice!$B$70</f>
        <v/>
      </c>
      <c r="AE45" s="144" t="n"/>
      <c r="AF45" s="145" t="n"/>
      <c r="AG45" s="143">
        <f>Invoice!$B$76</f>
        <v/>
      </c>
      <c r="AH45" s="144" t="n"/>
      <c r="AI45" s="145" t="n"/>
    </row>
    <row r="46" ht="18.75" customFormat="1" customHeight="1" s="76">
      <c r="B46" s="146" t="n"/>
      <c r="C46" s="147" t="n">
        <v>0</v>
      </c>
      <c r="D46" s="144" t="n"/>
      <c r="E46" s="145" t="n"/>
      <c r="F46" s="147" t="n">
        <v>0</v>
      </c>
      <c r="G46" s="144" t="n"/>
      <c r="H46" s="145" t="n"/>
      <c r="I46" s="147" t="n">
        <v>0</v>
      </c>
      <c r="J46" s="144" t="n"/>
      <c r="K46" s="145" t="n"/>
      <c r="L46" s="147" t="n">
        <v>0</v>
      </c>
      <c r="M46" s="144" t="n"/>
      <c r="N46" s="145" t="n"/>
      <c r="O46" s="147" t="n">
        <v>0</v>
      </c>
      <c r="P46" s="144" t="n"/>
      <c r="Q46" s="145" t="n"/>
      <c r="R46" s="147" t="n">
        <v>0</v>
      </c>
      <c r="S46" s="144" t="n"/>
      <c r="T46" s="145" t="n"/>
      <c r="U46" s="147" t="n">
        <v>0</v>
      </c>
      <c r="V46" s="144" t="n"/>
      <c r="W46" s="145" t="n"/>
      <c r="X46" s="147" t="n">
        <v>0</v>
      </c>
      <c r="Y46" s="144" t="n"/>
      <c r="Z46" s="145" t="n"/>
      <c r="AA46" s="147" t="n">
        <v>0</v>
      </c>
      <c r="AB46" s="144" t="n"/>
      <c r="AC46" s="145" t="n"/>
      <c r="AD46" s="147" t="n">
        <v>0</v>
      </c>
      <c r="AE46" s="144" t="n"/>
      <c r="AF46" s="145" t="n"/>
      <c r="AG46" s="147" t="n">
        <v>0</v>
      </c>
      <c r="AH46" s="144" t="n"/>
      <c r="AI46" s="145" t="n"/>
    </row>
    <row r="47" ht="18.75" customHeight="1" s="121">
      <c r="B47" s="146" t="n"/>
      <c r="C47" s="148" t="inlineStr">
        <is>
          <t>monthly unit price($)</t>
        </is>
      </c>
      <c r="D47" s="145" t="n"/>
      <c r="E47" s="54" t="inlineStr">
        <is>
          <t>amount</t>
        </is>
      </c>
      <c r="F47" s="148" t="inlineStr">
        <is>
          <t>monthly unit price($)</t>
        </is>
      </c>
      <c r="G47" s="145" t="n"/>
      <c r="H47" s="54" t="inlineStr">
        <is>
          <t>amount</t>
        </is>
      </c>
      <c r="I47" s="148" t="inlineStr">
        <is>
          <t xml:space="preserve">monthly unit price($) </t>
        </is>
      </c>
      <c r="J47" s="145" t="n"/>
      <c r="K47" s="54" t="inlineStr">
        <is>
          <t>amount</t>
        </is>
      </c>
      <c r="L47" s="148" t="inlineStr">
        <is>
          <t xml:space="preserve">monthly unit price($) </t>
        </is>
      </c>
      <c r="M47" s="145" t="n"/>
      <c r="N47" s="54" t="inlineStr">
        <is>
          <t>amount</t>
        </is>
      </c>
      <c r="O47" s="148" t="inlineStr">
        <is>
          <t xml:space="preserve">monthly unit price($) </t>
        </is>
      </c>
      <c r="P47" s="145" t="n"/>
      <c r="Q47" s="54" t="inlineStr">
        <is>
          <t>amount</t>
        </is>
      </c>
      <c r="R47" s="148" t="inlineStr">
        <is>
          <t xml:space="preserve">monthly unit price($) </t>
        </is>
      </c>
      <c r="S47" s="145" t="n"/>
      <c r="T47" s="54" t="inlineStr">
        <is>
          <t>amount</t>
        </is>
      </c>
      <c r="U47" s="148" t="inlineStr">
        <is>
          <t xml:space="preserve">monthly unit price($) </t>
        </is>
      </c>
      <c r="V47" s="145" t="n"/>
      <c r="W47" s="54" t="inlineStr">
        <is>
          <t>amount</t>
        </is>
      </c>
      <c r="X47" s="148" t="inlineStr">
        <is>
          <t xml:space="preserve">monthly unit price($) </t>
        </is>
      </c>
      <c r="Y47" s="145" t="n"/>
      <c r="Z47" s="54" t="inlineStr">
        <is>
          <t>amount</t>
        </is>
      </c>
      <c r="AA47" s="148" t="inlineStr">
        <is>
          <t xml:space="preserve">monthly unit price($) </t>
        </is>
      </c>
      <c r="AB47" s="145" t="n"/>
      <c r="AC47" s="54" t="inlineStr">
        <is>
          <t>amount</t>
        </is>
      </c>
      <c r="AD47" s="148" t="inlineStr">
        <is>
          <t xml:space="preserve">monthly unit price($) </t>
        </is>
      </c>
      <c r="AE47" s="145" t="n"/>
      <c r="AF47" s="54" t="inlineStr">
        <is>
          <t>amount</t>
        </is>
      </c>
      <c r="AG47" s="148" t="inlineStr">
        <is>
          <t xml:space="preserve">monthly unit price($) </t>
        </is>
      </c>
      <c r="AH47" s="145" t="n"/>
      <c r="AI47" s="54" t="inlineStr">
        <is>
          <t>amount</t>
        </is>
      </c>
    </row>
    <row r="48" ht="18.75" customHeight="1" s="121">
      <c r="B48" s="149" t="n"/>
      <c r="C48" s="150">
        <f>Invoice!$I$15/Invoice!$C$10</f>
        <v/>
      </c>
      <c r="D48" s="145" t="n"/>
      <c r="E48" s="151">
        <f>C46*C48</f>
        <v/>
      </c>
      <c r="F48" s="150">
        <f>Invoice!$I$27/Invoice!$C$22</f>
        <v/>
      </c>
      <c r="G48" s="145" t="n"/>
      <c r="H48" s="151">
        <f>F46*F48</f>
        <v/>
      </c>
      <c r="I48" s="150">
        <f>Invoice!$I$33/Invoice!$C$28</f>
        <v/>
      </c>
      <c r="J48" s="145" t="n"/>
      <c r="K48" s="151">
        <f>I46*I48</f>
        <v/>
      </c>
      <c r="L48" s="150">
        <f>L13</f>
        <v/>
      </c>
      <c r="M48" s="145" t="n"/>
      <c r="N48" s="151">
        <f>L46*L48</f>
        <v/>
      </c>
      <c r="O48" s="150">
        <f>Invoice!$I$45/Invoice!$C$40</f>
        <v/>
      </c>
      <c r="P48" s="145" t="n"/>
      <c r="Q48" s="151">
        <f>O46*O48</f>
        <v/>
      </c>
      <c r="R48" s="150">
        <f>Invoice!$I$51/Invoice!$C$46</f>
        <v/>
      </c>
      <c r="S48" s="145" t="n"/>
      <c r="T48" s="151">
        <f>R46*R48</f>
        <v/>
      </c>
      <c r="U48" s="150">
        <f>Invoice!$I$57/Invoice!$C$52</f>
        <v/>
      </c>
      <c r="V48" s="145" t="n"/>
      <c r="W48" s="151">
        <f>U46*U48</f>
        <v/>
      </c>
      <c r="X48" s="150">
        <f>Invoice!$I$63/Invoice!$C$58</f>
        <v/>
      </c>
      <c r="Y48" s="145" t="n"/>
      <c r="Z48" s="151">
        <f>X46*X48</f>
        <v/>
      </c>
      <c r="AA48" s="150">
        <f>Invoice!$I$69/Invoice!$C$64</f>
        <v/>
      </c>
      <c r="AB48" s="145" t="n"/>
      <c r="AC48" s="151">
        <f>AA46*AA48</f>
        <v/>
      </c>
      <c r="AD48" s="152">
        <f>Invoice!$I$75/Invoice!$C$70</f>
        <v/>
      </c>
      <c r="AE48" s="145" t="n"/>
      <c r="AF48" s="151">
        <f>AD46*AD48</f>
        <v/>
      </c>
      <c r="AG48" s="152">
        <f>Invoice!$I$81/Invoice!$C$76</f>
        <v/>
      </c>
      <c r="AH48" s="145" t="n"/>
      <c r="AI48" s="151">
        <f>AG46*AG48</f>
        <v/>
      </c>
    </row>
    <row r="49" ht="18.75" customHeight="1" s="121">
      <c r="B49" s="153" t="inlineStr">
        <is>
          <t>toal($)</t>
        </is>
      </c>
      <c r="C49" s="144" t="n"/>
      <c r="D49" s="145" t="n"/>
      <c r="E49" s="154">
        <f>ROUND(SUM(E48,H48,K48,N48,Q48,T48,W48,Z48,AC48,AF48,AI48),0)</f>
        <v/>
      </c>
      <c r="F49" s="155" t="n"/>
      <c r="G49" s="65" t="n"/>
      <c r="H49" s="156" t="n"/>
      <c r="I49" s="155" t="n"/>
      <c r="J49" s="65" t="n"/>
      <c r="K49" s="156" t="n"/>
      <c r="L49" s="155" t="n"/>
      <c r="M49" s="65" t="n"/>
      <c r="N49" s="156" t="n"/>
      <c r="O49" s="155" t="n"/>
      <c r="P49" s="65" t="n"/>
      <c r="Q49" s="156" t="n"/>
      <c r="R49" s="155" t="n"/>
      <c r="S49" s="65" t="n"/>
      <c r="T49" s="156" t="n"/>
      <c r="U49" s="155" t="n"/>
      <c r="V49" s="65" t="n"/>
      <c r="W49" s="156" t="n"/>
      <c r="X49" s="155" t="n"/>
      <c r="Y49" s="65" t="n"/>
      <c r="Z49" s="156" t="n"/>
      <c r="AA49" s="155" t="n"/>
      <c r="AB49" s="65" t="n"/>
      <c r="AC49" s="156" t="n"/>
      <c r="AD49" s="157" t="n"/>
      <c r="AE49" s="158" t="n"/>
      <c r="AF49" s="156" t="n"/>
      <c r="AG49" s="157" t="n"/>
      <c r="AH49" s="158" t="n"/>
      <c r="AI49" s="156" t="n"/>
    </row>
    <row r="50" ht="18.75" customHeight="1" s="121">
      <c r="B50" s="159" t="inlineStr">
        <is>
          <t>toal(\)</t>
        </is>
      </c>
      <c r="C50" s="144" t="n"/>
      <c r="D50" s="145" t="n"/>
      <c r="E50" s="160">
        <f>ROUND(E49*$C$8,0)</f>
        <v/>
      </c>
      <c r="F50" s="0" t="n"/>
      <c r="G50" s="0" t="n"/>
      <c r="H50" s="0" t="n"/>
      <c r="I50" s="0" t="n"/>
      <c r="J50" s="0" t="n"/>
      <c r="K50" s="0" t="n"/>
      <c r="L50" s="0" t="n"/>
      <c r="M50" s="0" t="n"/>
      <c r="N50" s="0" t="n"/>
      <c r="O50" s="0" t="n"/>
      <c r="P50" s="0" t="n"/>
      <c r="Q50" s="0" t="n"/>
      <c r="R50" s="0" t="n"/>
      <c r="S50" s="0" t="n"/>
      <c r="T50" s="0" t="n"/>
      <c r="U50" s="0" t="n"/>
      <c r="V50" s="0" t="n"/>
      <c r="W50" s="0" t="n"/>
      <c r="X50" s="0" t="n"/>
      <c r="Y50" s="0" t="n"/>
      <c r="Z50" s="0" t="n"/>
      <c r="AA50" s="0" t="n"/>
      <c r="AB50" s="0" t="n"/>
      <c r="AC50" s="0" t="n"/>
      <c r="AD50" s="0" t="n"/>
      <c r="AE50" s="0" t="n"/>
      <c r="AF50" s="0" t="n"/>
    </row>
    <row r="51" ht="18.75" customFormat="1" customHeight="1" s="72">
      <c r="B51" s="77" t="n"/>
      <c r="C51" s="77" t="n"/>
      <c r="D51" s="77" t="n"/>
      <c r="E51" s="164">
        <f>SUM(E48,E41,E34,E20,E27,E13)</f>
        <v/>
      </c>
      <c r="F51" s="77" t="n"/>
      <c r="G51" s="77" t="n"/>
      <c r="H51" s="164">
        <f>SUM(H48,H41,H34,H20,H27,H13)</f>
        <v/>
      </c>
      <c r="I51" s="77" t="n"/>
      <c r="J51" s="77" t="n"/>
      <c r="K51" s="164">
        <f>SUM(K48,K41,K34,K20,K27,K13)</f>
        <v/>
      </c>
      <c r="L51" s="77" t="n"/>
      <c r="M51" s="77" t="n"/>
      <c r="N51" s="164">
        <f>SUM(N48,N41,N34,N20,N27,N13)</f>
        <v/>
      </c>
      <c r="O51" s="77" t="n"/>
      <c r="P51" s="77" t="n"/>
      <c r="Q51" s="164">
        <f>SUM(Q48,Q41,Q34,Q20,Q27,Q13)</f>
        <v/>
      </c>
      <c r="R51" s="77" t="n"/>
      <c r="S51" s="77" t="n"/>
      <c r="T51" s="164">
        <f>SUM(T48,T41,T34,T20,T27,T13)</f>
        <v/>
      </c>
      <c r="U51" s="77" t="n"/>
      <c r="V51" s="77" t="n"/>
      <c r="W51" s="164">
        <f>SUM(W48,W41,W34,W20,W27,W13)</f>
        <v/>
      </c>
      <c r="X51" s="77" t="n"/>
      <c r="Y51" s="77" t="n"/>
      <c r="Z51" s="164">
        <f>SUM(Z48,Z41,Z34,Z20,Z27,Z13)</f>
        <v/>
      </c>
      <c r="AA51" s="77" t="n"/>
      <c r="AB51" s="77" t="n"/>
      <c r="AC51" s="164">
        <f>SUM(AC48,AC41,AC34,AC20,AC27,AC13)</f>
        <v/>
      </c>
      <c r="AD51" s="77" t="n"/>
      <c r="AE51" s="77" t="n"/>
      <c r="AF51" s="164">
        <f>SUM(AF48,AF41,AF34,AF20,AF27,AF13)</f>
        <v/>
      </c>
      <c r="AI51" s="164">
        <f>SUM(AI48,AI41,AI34,AI20,AI27,AI13)</f>
        <v/>
      </c>
    </row>
    <row r="52" ht="18.75" customHeight="1" s="121">
      <c r="B52" s="165" t="inlineStr">
        <is>
          <t>청구 대상 금액</t>
        </is>
      </c>
      <c r="C52" s="144" t="n"/>
      <c r="D52" s="145" t="n"/>
      <c r="E52" s="166">
        <f>SUM(E43,E36,E29,E22,E15,E50)</f>
        <v/>
      </c>
      <c r="F52" s="167" t="n"/>
      <c r="G52" s="0" t="n"/>
      <c r="H52" s="0" t="n"/>
      <c r="I52" s="0" t="n"/>
      <c r="J52" s="0" t="n"/>
      <c r="K52" s="0" t="n"/>
      <c r="L52" s="0" t="n"/>
      <c r="M52" s="0" t="n"/>
      <c r="N52" s="0" t="n"/>
      <c r="O52" s="0" t="n"/>
      <c r="P52" s="0" t="n"/>
      <c r="Q52" s="0" t="n"/>
      <c r="R52" s="0" t="n"/>
      <c r="S52" s="0" t="n"/>
      <c r="T52" s="0" t="n"/>
      <c r="U52" s="0" t="n"/>
      <c r="V52" s="0" t="n"/>
      <c r="W52" s="0" t="n"/>
      <c r="X52" s="0" t="n"/>
      <c r="Y52" s="0" t="n"/>
      <c r="Z52" s="0" t="n"/>
      <c r="AA52" s="0" t="n"/>
      <c r="AB52" s="0" t="n"/>
      <c r="AC52" s="0" t="n"/>
      <c r="AD52" s="0" t="n"/>
      <c r="AE52" s="0" t="n"/>
      <c r="AF52" s="0" t="n"/>
    </row>
    <row r="53" ht="17.4" customHeight="1" s="121">
      <c r="B53" s="48" t="n"/>
      <c r="C53" s="47" t="n"/>
      <c r="E53" s="51" t="inlineStr">
        <is>
          <t>(부가세 별도)</t>
        </is>
      </c>
      <c r="G53" s="0" t="n"/>
      <c r="H53" s="52" t="n"/>
      <c r="I53" s="168" t="n"/>
    </row>
    <row r="54" ht="22.8" customHeight="1" s="121">
      <c r="B54" s="48" t="n"/>
      <c r="C54" s="90" t="n"/>
      <c r="G54" s="0" t="n"/>
      <c r="H54" s="52" t="n"/>
      <c r="I54" s="168" t="n"/>
    </row>
    <row r="55">
      <c r="B55" s="48" t="n"/>
      <c r="H55" s="52" t="n"/>
      <c r="I55" s="168" t="n"/>
    </row>
    <row r="56"/>
    <row r="57" ht="13.8" customHeight="1" s="121">
      <c r="I57" s="51" t="n"/>
    </row>
    <row r="58" ht="15.6" customHeight="1" s="121">
      <c r="B58" s="1" t="n"/>
      <c r="D58" s="38" t="n"/>
    </row>
    <row r="59" ht="15.6" customHeight="1" s="121">
      <c r="C59" s="38" t="n"/>
      <c r="D59" s="38" t="n"/>
    </row>
    <row r="60">
      <c r="B60" s="38" t="n"/>
      <c r="C60" s="38" t="n"/>
      <c r="D60" s="38" t="n"/>
    </row>
    <row r="61">
      <c r="B61" s="38" t="n"/>
      <c r="C61" s="38" t="n"/>
      <c r="D61" s="38" t="n"/>
    </row>
    <row r="62">
      <c r="B62" s="38" t="n"/>
      <c r="C62" s="38" t="n"/>
      <c r="D62" s="38" t="n"/>
    </row>
  </sheetData>
  <mergeCells count="292">
    <mergeCell ref="B42:D42"/>
    <mergeCell ref="I32:K32"/>
    <mergeCell ref="U40:V40"/>
    <mergeCell ref="F18:H18"/>
    <mergeCell ref="F45:H45"/>
    <mergeCell ref="X18:Z18"/>
    <mergeCell ref="C31:E31"/>
    <mergeCell ref="U32:W32"/>
    <mergeCell ref="AA13:AB13"/>
    <mergeCell ref="R45:T45"/>
    <mergeCell ref="O31:Q31"/>
    <mergeCell ref="L19:M19"/>
    <mergeCell ref="F17:H17"/>
    <mergeCell ref="AJ18:AL18"/>
    <mergeCell ref="AG41:AH41"/>
    <mergeCell ref="I26:J26"/>
    <mergeCell ref="AA40:AB40"/>
    <mergeCell ref="B28:D28"/>
    <mergeCell ref="I24:K24"/>
    <mergeCell ref="L25:N25"/>
    <mergeCell ref="L12:M12"/>
    <mergeCell ref="AD11:AF11"/>
    <mergeCell ref="AA46:AC46"/>
    <mergeCell ref="F31:H31"/>
    <mergeCell ref="X34:Y34"/>
    <mergeCell ref="X45:Z45"/>
    <mergeCell ref="C41:D41"/>
    <mergeCell ref="AA33:AB33"/>
    <mergeCell ref="U18:W18"/>
    <mergeCell ref="I17:K17"/>
    <mergeCell ref="O26:P26"/>
    <mergeCell ref="O41:P41"/>
    <mergeCell ref="AG27:AH27"/>
    <mergeCell ref="B38:B41"/>
    <mergeCell ref="F39:H39"/>
    <mergeCell ref="AD40:AE40"/>
    <mergeCell ref="AA26:AB26"/>
    <mergeCell ref="R46:T46"/>
    <mergeCell ref="R12:S12"/>
    <mergeCell ref="AG24:AI24"/>
    <mergeCell ref="L11:N11"/>
    <mergeCell ref="L46:N46"/>
    <mergeCell ref="I10:K10"/>
    <mergeCell ref="C54:E57"/>
    <mergeCell ref="X20:Y20"/>
    <mergeCell ref="C27:D27"/>
    <mergeCell ref="U10:W10"/>
    <mergeCell ref="X31:Z31"/>
    <mergeCell ref="O40:P40"/>
    <mergeCell ref="U33:V33"/>
    <mergeCell ref="C18:E18"/>
    <mergeCell ref="R41:S41"/>
    <mergeCell ref="O27:P27"/>
    <mergeCell ref="F13:G13"/>
    <mergeCell ref="AD39:AF39"/>
    <mergeCell ref="B24:B27"/>
    <mergeCell ref="AG19:AH19"/>
    <mergeCell ref="L40:M40"/>
    <mergeCell ref="X39:Z39"/>
    <mergeCell ref="AD26:AE26"/>
    <mergeCell ref="R38:T38"/>
    <mergeCell ref="O10:Q10"/>
    <mergeCell ref="L32:N32"/>
    <mergeCell ref="AD24:AF24"/>
    <mergeCell ref="I20:J20"/>
    <mergeCell ref="AA10:AC10"/>
    <mergeCell ref="AD38:AF38"/>
    <mergeCell ref="AG25:AI25"/>
    <mergeCell ref="I45:K45"/>
    <mergeCell ref="C19:D19"/>
    <mergeCell ref="U20:V20"/>
    <mergeCell ref="O39:Q39"/>
    <mergeCell ref="AA47:AB47"/>
    <mergeCell ref="R33:S33"/>
    <mergeCell ref="B43:D43"/>
    <mergeCell ref="I13:J13"/>
    <mergeCell ref="U17:W17"/>
    <mergeCell ref="AA39:AC39"/>
    <mergeCell ref="C25:E25"/>
    <mergeCell ref="U11:W11"/>
    <mergeCell ref="R24:T24"/>
    <mergeCell ref="AG20:AH20"/>
    <mergeCell ref="L24:N24"/>
    <mergeCell ref="AG11:AI11"/>
    <mergeCell ref="AD10:AF10"/>
    <mergeCell ref="X40:Y40"/>
    <mergeCell ref="L18:N18"/>
    <mergeCell ref="F19:G19"/>
    <mergeCell ref="F34:G34"/>
    <mergeCell ref="AA45:AC45"/>
    <mergeCell ref="R19:S19"/>
    <mergeCell ref="AJ27:AK27"/>
    <mergeCell ref="C46:E46"/>
    <mergeCell ref="AG40:AH40"/>
    <mergeCell ref="AG45:AI45"/>
    <mergeCell ref="R34:S34"/>
    <mergeCell ref="AJ24:AL24"/>
    <mergeCell ref="C47:D47"/>
    <mergeCell ref="U48:V48"/>
    <mergeCell ref="O46:Q46"/>
    <mergeCell ref="B17:B20"/>
    <mergeCell ref="L10:N10"/>
    <mergeCell ref="AD34:AE34"/>
    <mergeCell ref="I41:J41"/>
    <mergeCell ref="F20:G20"/>
    <mergeCell ref="F33:G33"/>
    <mergeCell ref="R17:T17"/>
    <mergeCell ref="C39:E39"/>
    <mergeCell ref="X19:Y19"/>
    <mergeCell ref="AA31:AC31"/>
    <mergeCell ref="C40:D40"/>
    <mergeCell ref="U41:V41"/>
    <mergeCell ref="AJ19:AK19"/>
    <mergeCell ref="AG39:AI39"/>
    <mergeCell ref="U13:V13"/>
    <mergeCell ref="C32:E32"/>
    <mergeCell ref="C38:E38"/>
    <mergeCell ref="X25:Z25"/>
    <mergeCell ref="U47:V47"/>
    <mergeCell ref="U38:W38"/>
    <mergeCell ref="B36:D36"/>
    <mergeCell ref="F47:G47"/>
    <mergeCell ref="AJ25:AL25"/>
    <mergeCell ref="O38:Q38"/>
    <mergeCell ref="L20:M20"/>
    <mergeCell ref="AA32:AC32"/>
    <mergeCell ref="R47:S47"/>
    <mergeCell ref="I33:J33"/>
    <mergeCell ref="AA41:AB41"/>
    <mergeCell ref="R39:T39"/>
    <mergeCell ref="AA38:AC38"/>
    <mergeCell ref="F11:H11"/>
    <mergeCell ref="C24:E24"/>
    <mergeCell ref="F25:H25"/>
    <mergeCell ref="X11:Z11"/>
    <mergeCell ref="R11:T11"/>
    <mergeCell ref="F48:G48"/>
    <mergeCell ref="AJ20:AK20"/>
    <mergeCell ref="O24:Q24"/>
    <mergeCell ref="AG10:AI10"/>
    <mergeCell ref="O18:Q18"/>
    <mergeCell ref="AG33:AH33"/>
    <mergeCell ref="I19:J19"/>
    <mergeCell ref="B21:D21"/>
    <mergeCell ref="B45:B48"/>
    <mergeCell ref="R31:T31"/>
    <mergeCell ref="U19:V19"/>
    <mergeCell ref="AD47:AE47"/>
    <mergeCell ref="F24:H24"/>
    <mergeCell ref="I25:K25"/>
    <mergeCell ref="L48:M48"/>
    <mergeCell ref="C10:E10"/>
    <mergeCell ref="C34:D34"/>
    <mergeCell ref="AD48:AE48"/>
    <mergeCell ref="U34:V34"/>
    <mergeCell ref="B14:D14"/>
    <mergeCell ref="U25:W25"/>
    <mergeCell ref="X48:Y48"/>
    <mergeCell ref="O19:P19"/>
    <mergeCell ref="O34:P34"/>
    <mergeCell ref="AD46:AF46"/>
    <mergeCell ref="AG34:AH34"/>
    <mergeCell ref="F32:H32"/>
    <mergeCell ref="AD33:AE33"/>
    <mergeCell ref="AA19:AB19"/>
    <mergeCell ref="AG17:AI17"/>
    <mergeCell ref="O25:Q25"/>
    <mergeCell ref="L47:M47"/>
    <mergeCell ref="X13:Y13"/>
    <mergeCell ref="F38:H38"/>
    <mergeCell ref="AA25:AC25"/>
    <mergeCell ref="X24:Z24"/>
    <mergeCell ref="X38:Z38"/>
    <mergeCell ref="C20:D20"/>
    <mergeCell ref="C11:E11"/>
    <mergeCell ref="I47:J47"/>
    <mergeCell ref="AA48:AB48"/>
    <mergeCell ref="O20:P20"/>
    <mergeCell ref="AD32:AF32"/>
    <mergeCell ref="B49:D49"/>
    <mergeCell ref="I39:K39"/>
    <mergeCell ref="L33:M33"/>
    <mergeCell ref="AD19:AE19"/>
    <mergeCell ref="AA18:AC18"/>
    <mergeCell ref="O17:Q17"/>
    <mergeCell ref="U39:W39"/>
    <mergeCell ref="R27:S27"/>
    <mergeCell ref="B10:B13"/>
    <mergeCell ref="I38:K38"/>
    <mergeCell ref="L26:M26"/>
    <mergeCell ref="AG48:AH48"/>
    <mergeCell ref="AD27:AE27"/>
    <mergeCell ref="C12:D12"/>
    <mergeCell ref="U12:V12"/>
    <mergeCell ref="X10:Z10"/>
    <mergeCell ref="AA11:AC11"/>
    <mergeCell ref="R20:S20"/>
    <mergeCell ref="B35:D35"/>
    <mergeCell ref="B50:D50"/>
    <mergeCell ref="AD18:AF18"/>
    <mergeCell ref="I31:K31"/>
    <mergeCell ref="AG13:AH13"/>
    <mergeCell ref="C48:D48"/>
    <mergeCell ref="O47:P47"/>
    <mergeCell ref="L17:N17"/>
    <mergeCell ref="AG47:AH47"/>
    <mergeCell ref="AD17:AF17"/>
    <mergeCell ref="U31:W31"/>
    <mergeCell ref="AG38:AI38"/>
    <mergeCell ref="O48:P48"/>
    <mergeCell ref="U46:W46"/>
    <mergeCell ref="B22:D22"/>
    <mergeCell ref="AG46:AI46"/>
    <mergeCell ref="X17:Z17"/>
    <mergeCell ref="AJ17:AL17"/>
    <mergeCell ref="R25:T25"/>
    <mergeCell ref="U26:V26"/>
    <mergeCell ref="AD12:AE12"/>
    <mergeCell ref="R48:S48"/>
    <mergeCell ref="I34:J34"/>
    <mergeCell ref="AD25:AF25"/>
    <mergeCell ref="AA24:AC24"/>
    <mergeCell ref="B31:B34"/>
    <mergeCell ref="X12:Y12"/>
    <mergeCell ref="AG26:AH26"/>
    <mergeCell ref="C33:D33"/>
    <mergeCell ref="O32:Q32"/>
    <mergeCell ref="AG32:AI32"/>
    <mergeCell ref="AD20:AE20"/>
    <mergeCell ref="L39:N39"/>
    <mergeCell ref="AD31:AF31"/>
    <mergeCell ref="L45:N45"/>
    <mergeCell ref="O33:P33"/>
    <mergeCell ref="I27:J27"/>
    <mergeCell ref="AD45:AF45"/>
    <mergeCell ref="AA27:AB27"/>
    <mergeCell ref="R13:S13"/>
    <mergeCell ref="B29:D29"/>
    <mergeCell ref="F40:G40"/>
    <mergeCell ref="C26:D26"/>
    <mergeCell ref="U27:V27"/>
    <mergeCell ref="L13:M13"/>
    <mergeCell ref="I18:K18"/>
    <mergeCell ref="AD13:AE13"/>
    <mergeCell ref="L38:N38"/>
    <mergeCell ref="R40:S40"/>
    <mergeCell ref="F46:H46"/>
    <mergeCell ref="F12:G12"/>
    <mergeCell ref="U24:W24"/>
    <mergeCell ref="AA34:AB34"/>
    <mergeCell ref="R32:T32"/>
    <mergeCell ref="L31:N31"/>
    <mergeCell ref="C17:E17"/>
    <mergeCell ref="AG18:AI18"/>
    <mergeCell ref="X47:Y47"/>
    <mergeCell ref="B15:D15"/>
    <mergeCell ref="F26:G26"/>
    <mergeCell ref="F41:G41"/>
    <mergeCell ref="O11:Q11"/>
    <mergeCell ref="R26:S26"/>
    <mergeCell ref="I12:J12"/>
    <mergeCell ref="AA20:AB20"/>
    <mergeCell ref="X46:Z46"/>
    <mergeCell ref="X33:Y33"/>
    <mergeCell ref="R18:T18"/>
    <mergeCell ref="AA17:AC17"/>
    <mergeCell ref="L41:M41"/>
    <mergeCell ref="AD41:AE41"/>
    <mergeCell ref="I48:J48"/>
    <mergeCell ref="F27:G27"/>
    <mergeCell ref="X26:Y26"/>
    <mergeCell ref="X41:Y41"/>
    <mergeCell ref="O12:P12"/>
    <mergeCell ref="AG12:AH12"/>
    <mergeCell ref="I11:K11"/>
    <mergeCell ref="I46:K46"/>
    <mergeCell ref="F10:H10"/>
    <mergeCell ref="AJ26:AK26"/>
    <mergeCell ref="AA12:AB12"/>
    <mergeCell ref="X32:Z32"/>
    <mergeCell ref="L34:M34"/>
    <mergeCell ref="C45:E45"/>
    <mergeCell ref="R10:T10"/>
    <mergeCell ref="U45:W45"/>
    <mergeCell ref="B52:D52"/>
    <mergeCell ref="O45:Q45"/>
    <mergeCell ref="L27:M27"/>
    <mergeCell ref="C13:D13"/>
    <mergeCell ref="AG31:AI31"/>
    <mergeCell ref="I40:J40"/>
    <mergeCell ref="X27:Y27"/>
    <mergeCell ref="O13:P13"/>
  </mergeCells>
  <printOptions horizontalCentered="1"/>
  <pageMargins left="0.3937007874015748" right="0.3937007874015748" top="1.181102362204725" bottom="0.5905511811023623" header="0" footer="0"/>
  <pageSetup orientation="portrait" paperSize="9" scale="16" fitToHeight="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3"/>
  <sheetViews>
    <sheetView topLeftCell="A46" zoomScale="30" zoomScaleNormal="30" workbookViewId="0">
      <selection activeCell="A60" sqref="A60"/>
    </sheetView>
  </sheetViews>
  <sheetFormatPr baseColWidth="8" defaultColWidth="11.3984375" defaultRowHeight="12.75" customHeight="1"/>
  <cols>
    <col width="167.19921875" customWidth="1" style="116" min="1" max="1"/>
    <col width="36.69921875" customWidth="1" style="116" min="2" max="9"/>
    <col width="11.3984375" customWidth="1" style="116" min="10" max="16384"/>
  </cols>
  <sheetData>
    <row r="1" ht="162" customHeight="1" s="121">
      <c r="A1" s="2" t="n"/>
      <c r="B1" s="2" t="n"/>
      <c r="C1" s="2" t="n"/>
      <c r="D1" s="2" t="n"/>
      <c r="E1" s="2" t="n"/>
      <c r="F1" s="2" t="n"/>
      <c r="G1" s="2" t="n"/>
      <c r="H1" s="2" t="n"/>
      <c r="I1" s="2" t="n"/>
    </row>
    <row r="2" ht="102" customHeight="1" s="121">
      <c r="A2" s="4" t="inlineStr">
        <is>
          <t>Maps</t>
        </is>
      </c>
      <c r="B2" s="5" t="n"/>
      <c r="C2" s="5" t="n"/>
      <c r="D2" s="5" t="n"/>
      <c r="E2" s="5" t="n"/>
      <c r="F2" s="5" t="n"/>
      <c r="G2" s="5" t="n"/>
      <c r="H2" s="5" t="n"/>
      <c r="I2" s="5" t="n"/>
    </row>
    <row r="3" ht="60" customHeight="1" s="121">
      <c r="A3" s="6" t="n"/>
      <c r="B3" s="6" t="n"/>
      <c r="C3" s="6" t="n"/>
      <c r="D3" s="7" t="inlineStr">
        <is>
          <t>COST PER THOUSAND (CPM)</t>
        </is>
      </c>
      <c r="E3" s="131" t="n"/>
      <c r="F3" s="131" t="n"/>
      <c r="G3" s="131" t="n"/>
      <c r="H3" s="131" t="n"/>
      <c r="I3" s="122" t="n"/>
    </row>
    <row r="4" ht="211.2" customHeight="1" s="121">
      <c r="A4" s="6" t="inlineStr">
        <is>
          <t>Monthly volume range</t>
        </is>
      </c>
      <c r="B4" s="7" t="inlineStr">
        <is>
          <t xml:space="preserve">Category </t>
        </is>
      </c>
      <c r="C4" s="6" t="inlineStr">
        <is>
          <t>Free Usage Cap¹</t>
        </is>
      </c>
      <c r="D4" s="6" t="inlineStr">
        <is>
          <t>Free usage cap  
to 
100,000</t>
        </is>
      </c>
      <c r="E4" s="6" t="inlineStr">
        <is>
          <t>100,001
to
500,000</t>
        </is>
      </c>
      <c r="F4" s="6" t="inlineStr">
        <is>
          <t>500,001
to
1,000,000</t>
        </is>
      </c>
      <c r="G4" s="6" t="inlineStr">
        <is>
          <t>1,000,001
to
5,000,000</t>
        </is>
      </c>
      <c r="H4" s="6" t="inlineStr">
        <is>
          <t xml:space="preserve">5,000,001
to
10,000,000 </t>
        </is>
      </c>
      <c r="I4" s="6" t="inlineStr">
        <is>
          <t>10,000,000 +</t>
        </is>
      </c>
    </row>
    <row r="5" ht="49.95" customHeight="1" s="121">
      <c r="A5" s="169" t="inlineStr">
        <is>
          <t>Embed</t>
        </is>
      </c>
      <c r="B5" s="9" t="inlineStr">
        <is>
          <t>Essentials</t>
        </is>
      </c>
      <c r="C5" s="9" t="inlineStr">
        <is>
          <t xml:space="preserve">Unlimited </t>
        </is>
      </c>
      <c r="D5" s="170" t="n">
        <v>0</v>
      </c>
      <c r="E5" s="170" t="n">
        <v>0</v>
      </c>
      <c r="F5" s="170" t="n">
        <v>0</v>
      </c>
      <c r="G5" s="170" t="n">
        <v>0</v>
      </c>
      <c r="H5" s="170" t="n">
        <v>0</v>
      </c>
      <c r="I5" s="170" t="inlineStr">
        <is>
          <t>별도문의</t>
        </is>
      </c>
    </row>
    <row r="6" ht="49.95" customHeight="1" s="121">
      <c r="A6" s="169" t="inlineStr">
        <is>
          <t>Maps SDK</t>
        </is>
      </c>
      <c r="B6" s="9" t="inlineStr">
        <is>
          <t>Essentials</t>
        </is>
      </c>
      <c r="C6" s="9" t="inlineStr">
        <is>
          <t xml:space="preserve">Unlimited </t>
        </is>
      </c>
      <c r="D6" s="170" t="n">
        <v>0</v>
      </c>
      <c r="E6" s="170" t="n">
        <v>0</v>
      </c>
      <c r="F6" s="170" t="n">
        <v>0</v>
      </c>
      <c r="G6" s="170" t="n">
        <v>0</v>
      </c>
      <c r="H6" s="170" t="n">
        <v>0</v>
      </c>
      <c r="I6" s="170" t="inlineStr">
        <is>
          <t>별도문의</t>
        </is>
      </c>
    </row>
    <row r="7" ht="49.95" customHeight="1" s="121">
      <c r="A7" s="169" t="inlineStr">
        <is>
          <t>Street View Metadata</t>
        </is>
      </c>
      <c r="B7" s="9" t="inlineStr">
        <is>
          <t>Essentials</t>
        </is>
      </c>
      <c r="C7" s="9" t="inlineStr">
        <is>
          <t xml:space="preserve">Unlimited </t>
        </is>
      </c>
      <c r="D7" s="170" t="n">
        <v>0</v>
      </c>
      <c r="E7" s="170" t="n">
        <v>0</v>
      </c>
      <c r="F7" s="171" t="n">
        <v>0</v>
      </c>
      <c r="G7" s="171" t="n">
        <v>0</v>
      </c>
      <c r="H7" s="171" t="n">
        <v>0</v>
      </c>
      <c r="I7" s="170" t="inlineStr">
        <is>
          <t>별도문의</t>
        </is>
      </c>
    </row>
    <row r="8" ht="49.95" customHeight="1" s="121">
      <c r="A8" s="169" t="inlineStr">
        <is>
          <t>Dynamic Maps</t>
        </is>
      </c>
      <c r="B8" s="9" t="inlineStr">
        <is>
          <t>Essentials</t>
        </is>
      </c>
      <c r="C8" s="9" t="n">
        <v>10000</v>
      </c>
      <c r="D8" s="170" t="n">
        <v>7</v>
      </c>
      <c r="E8" s="170" t="n">
        <v>5.6</v>
      </c>
      <c r="F8" s="171" t="n">
        <v>4.2</v>
      </c>
      <c r="G8" s="171" t="n">
        <v>2.1</v>
      </c>
      <c r="H8" s="171" t="n">
        <v>0.53</v>
      </c>
      <c r="I8" s="170" t="inlineStr">
        <is>
          <t>별도문의</t>
        </is>
      </c>
    </row>
    <row r="9" ht="49.95" customHeight="1" s="121">
      <c r="A9" s="169" t="inlineStr">
        <is>
          <t>Static Maps</t>
        </is>
      </c>
      <c r="B9" s="9" t="inlineStr">
        <is>
          <t>Essentials</t>
        </is>
      </c>
      <c r="C9" s="9" t="n">
        <v>10000</v>
      </c>
      <c r="D9" s="170" t="n">
        <v>2</v>
      </c>
      <c r="E9" s="170" t="n">
        <v>1.6</v>
      </c>
      <c r="F9" s="171" t="n">
        <v>1.2</v>
      </c>
      <c r="G9" s="171" t="n">
        <v>0.6</v>
      </c>
      <c r="H9" s="171" t="n">
        <v>0.15</v>
      </c>
      <c r="I9" s="170" t="inlineStr">
        <is>
          <t>별도문의</t>
        </is>
      </c>
    </row>
    <row r="10" ht="49.95" customHeight="1" s="121">
      <c r="A10" s="169" t="inlineStr">
        <is>
          <t>Static Street View</t>
        </is>
      </c>
      <c r="B10" s="9" t="inlineStr">
        <is>
          <t>Essentials</t>
        </is>
      </c>
      <c r="C10" s="9" t="n">
        <v>10000</v>
      </c>
      <c r="D10" s="170" t="n">
        <v>7</v>
      </c>
      <c r="E10" s="170" t="n">
        <v>5.6</v>
      </c>
      <c r="F10" s="171" t="n">
        <v>4.2</v>
      </c>
      <c r="G10" s="171" t="n">
        <v>2.1</v>
      </c>
      <c r="H10" s="171" t="n">
        <v>0.53</v>
      </c>
      <c r="I10" s="170" t="inlineStr">
        <is>
          <t>별도문의</t>
        </is>
      </c>
    </row>
    <row r="11" ht="49.95" customHeight="1" s="121">
      <c r="A11" s="169" t="inlineStr">
        <is>
          <t xml:space="preserve">Aerial View </t>
        </is>
      </c>
      <c r="B11" s="9" t="inlineStr">
        <is>
          <t xml:space="preserve">Pro </t>
        </is>
      </c>
      <c r="C11" s="9" t="n">
        <v>5000</v>
      </c>
      <c r="D11" s="170" t="n">
        <v>16</v>
      </c>
      <c r="E11" s="170" t="n">
        <v>12.8</v>
      </c>
      <c r="F11" s="171" t="n">
        <v>9.6</v>
      </c>
      <c r="G11" s="171" t="n">
        <v>4.8</v>
      </c>
      <c r="H11" s="171" t="n">
        <v>1.2</v>
      </c>
      <c r="I11" s="170" t="inlineStr">
        <is>
          <t>별도문의</t>
        </is>
      </c>
    </row>
    <row r="12" ht="49.95" customHeight="1" s="121">
      <c r="A12" s="169" t="inlineStr">
        <is>
          <t>Dynamic Street View</t>
        </is>
      </c>
      <c r="B12" s="9" t="inlineStr">
        <is>
          <t xml:space="preserve">Pro </t>
        </is>
      </c>
      <c r="C12" s="9" t="n">
        <v>5000</v>
      </c>
      <c r="D12" s="170" t="n">
        <v>14</v>
      </c>
      <c r="E12" s="170" t="n">
        <v>11.2</v>
      </c>
      <c r="F12" s="171" t="n">
        <v>8.4</v>
      </c>
      <c r="G12" s="171" t="n">
        <v>4.2</v>
      </c>
      <c r="H12" s="171" t="n">
        <v>1.05</v>
      </c>
      <c r="I12" s="170" t="inlineStr">
        <is>
          <t>별도문의</t>
        </is>
      </c>
    </row>
    <row r="13" ht="49.95" customHeight="1" s="121">
      <c r="A13" s="169" t="inlineStr">
        <is>
          <t>Elevation</t>
        </is>
      </c>
      <c r="B13" s="9" t="inlineStr">
        <is>
          <t xml:space="preserve">Pro </t>
        </is>
      </c>
      <c r="C13" s="9" t="n">
        <v>5000</v>
      </c>
      <c r="D13" s="170" t="n">
        <v>5</v>
      </c>
      <c r="E13" s="170" t="n">
        <v>4</v>
      </c>
      <c r="F13" s="170" t="n">
        <v>3</v>
      </c>
      <c r="G13" s="170" t="n">
        <v>1.5</v>
      </c>
      <c r="H13" s="170" t="n">
        <v>0.38</v>
      </c>
      <c r="I13" s="170" t="inlineStr">
        <is>
          <t>별도문의</t>
        </is>
      </c>
    </row>
    <row r="14" ht="60" customHeight="1" s="121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</row>
    <row r="15" ht="60" customHeight="1" s="121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</row>
    <row r="16" ht="102" customHeight="1" s="121">
      <c r="A16" s="13" t="inlineStr">
        <is>
          <t>Map Tiles</t>
        </is>
      </c>
      <c r="B16" s="12" t="n"/>
      <c r="C16" s="12" t="n"/>
      <c r="D16" s="12" t="n"/>
      <c r="E16" s="12" t="n"/>
      <c r="F16" s="12" t="n"/>
      <c r="G16" s="12" t="n"/>
      <c r="H16" s="12" t="n"/>
      <c r="I16" s="12" t="n"/>
    </row>
    <row r="17" ht="60" customHeight="1" s="121">
      <c r="A17" s="6" t="n"/>
      <c r="B17" s="6" t="n"/>
      <c r="C17" s="6" t="n"/>
      <c r="D17" s="7" t="inlineStr">
        <is>
          <t>COST PER THOUSAND (CPM)</t>
        </is>
      </c>
      <c r="E17" s="131" t="n"/>
      <c r="F17" s="131" t="n"/>
      <c r="G17" s="131" t="n"/>
      <c r="H17" s="131" t="n"/>
      <c r="I17" s="122" t="n"/>
    </row>
    <row r="18" ht="211.2" customHeight="1" s="121">
      <c r="A18" s="6" t="inlineStr">
        <is>
          <t>Monthly volume range</t>
        </is>
      </c>
      <c r="B18" s="7" t="inlineStr">
        <is>
          <t xml:space="preserve">Category </t>
        </is>
      </c>
      <c r="C18" s="6" t="inlineStr">
        <is>
          <t>Free Usage Cap¹</t>
        </is>
      </c>
      <c r="D18" s="6" t="inlineStr">
        <is>
          <t>Free usage cap
to
1,000,000</t>
        </is>
      </c>
      <c r="E18" s="6" t="inlineStr">
        <is>
          <t>1,000,001
to
5,000,000</t>
        </is>
      </c>
      <c r="F18" s="6" t="inlineStr">
        <is>
          <t>5,000,001
to
10,000,000</t>
        </is>
      </c>
      <c r="G18" s="6" t="inlineStr">
        <is>
          <t>10,000,001
to
50,000,000</t>
        </is>
      </c>
      <c r="H18" s="6" t="inlineStr">
        <is>
          <t xml:space="preserve">5,000,001
to
10,000,000 </t>
        </is>
      </c>
      <c r="I18" s="6" t="inlineStr">
        <is>
          <t>10,000,000 +</t>
        </is>
      </c>
    </row>
    <row r="19" ht="60" customFormat="1" customHeight="1" s="16">
      <c r="A19" s="169" t="inlineStr">
        <is>
          <t>Map Tiles API: 2D Map Tiles</t>
        </is>
      </c>
      <c r="B19" s="9" t="inlineStr">
        <is>
          <t>Essentials</t>
        </is>
      </c>
      <c r="C19" s="9" t="n">
        <v>100000</v>
      </c>
      <c r="D19" s="172" t="n">
        <v>0.6</v>
      </c>
      <c r="E19" s="172" t="n">
        <v>0.48</v>
      </c>
      <c r="F19" s="172" t="n">
        <v>0.36</v>
      </c>
      <c r="G19" s="172" t="n">
        <v>0.18</v>
      </c>
      <c r="H19" s="173" t="n">
        <v>0.045</v>
      </c>
      <c r="I19" s="170" t="inlineStr">
        <is>
          <t>별도문의</t>
        </is>
      </c>
    </row>
    <row r="20" ht="60" customFormat="1" customHeight="1" s="16">
      <c r="A20" s="169" t="inlineStr">
        <is>
          <t>Map Tiles API: Street View Tiles</t>
        </is>
      </c>
      <c r="B20" s="9" t="inlineStr">
        <is>
          <t>Essentials</t>
        </is>
      </c>
      <c r="C20" s="9" t="n">
        <v>100000</v>
      </c>
      <c r="D20" s="172" t="n">
        <v>2</v>
      </c>
      <c r="E20" s="172" t="n">
        <v>1.6</v>
      </c>
      <c r="F20" s="172" t="n">
        <v>1.2</v>
      </c>
      <c r="G20" s="172" t="n">
        <v>0.6</v>
      </c>
      <c r="H20" s="172" t="n">
        <v>0.2</v>
      </c>
      <c r="I20" s="170" t="inlineStr">
        <is>
          <t>별도문의</t>
        </is>
      </c>
    </row>
    <row r="21" ht="40.05" customHeight="1" s="121">
      <c r="A21" s="12" t="n"/>
      <c r="B21" s="12" t="n"/>
      <c r="C21" s="12" t="n"/>
      <c r="D21" s="12" t="n"/>
      <c r="E21" s="12" t="n"/>
      <c r="F21" s="12" t="n"/>
      <c r="G21" s="12" t="n"/>
      <c r="H21" s="17" t="n"/>
      <c r="I21" s="17" t="n"/>
    </row>
    <row r="22" ht="60" customFormat="1" customHeight="1" s="16">
      <c r="A22" s="6" t="n"/>
      <c r="B22" s="6" t="n"/>
      <c r="C22" s="6" t="n"/>
      <c r="D22" s="7" t="inlineStr">
        <is>
          <t>COST PER THOUSAND (CPM)</t>
        </is>
      </c>
      <c r="E22" s="131" t="n"/>
      <c r="F22" s="131" t="n"/>
      <c r="G22" s="131" t="n"/>
      <c r="H22" s="131" t="n"/>
      <c r="I22" s="122" t="n"/>
    </row>
    <row r="23" ht="211.2" customFormat="1" customHeight="1" s="16">
      <c r="A23" s="6" t="inlineStr">
        <is>
          <t>Monthly volume range</t>
        </is>
      </c>
      <c r="B23" s="7" t="inlineStr">
        <is>
          <t xml:space="preserve">Category </t>
        </is>
      </c>
      <c r="C23" s="6" t="inlineStr">
        <is>
          <t>Free Usage Cap¹</t>
        </is>
      </c>
      <c r="D23" s="6" t="inlineStr">
        <is>
          <t>Free usage cap  
to 
100,000</t>
        </is>
      </c>
      <c r="E23" s="6" t="inlineStr">
        <is>
          <t>100,001
to
500,000</t>
        </is>
      </c>
      <c r="F23" s="6" t="inlineStr">
        <is>
          <t>500,001
to
1,000,000</t>
        </is>
      </c>
      <c r="G23" s="6" t="inlineStr">
        <is>
          <t>1,000,001
to
5,000,000</t>
        </is>
      </c>
      <c r="H23" s="6" t="inlineStr">
        <is>
          <t xml:space="preserve">5,000,001
to
10,000,000 </t>
        </is>
      </c>
      <c r="I23" s="6" t="inlineStr">
        <is>
          <t>10,000,000 +</t>
        </is>
      </c>
    </row>
    <row r="24" ht="60" customFormat="1" customHeight="1" s="16">
      <c r="A24" s="169" t="inlineStr">
        <is>
          <t>Map Tiles API: Photorealistic 3D Tiles</t>
        </is>
      </c>
      <c r="B24" s="9" t="inlineStr">
        <is>
          <t>Enterprise</t>
        </is>
      </c>
      <c r="C24" s="9" t="n">
        <v>1000</v>
      </c>
      <c r="D24" s="172" t="n">
        <v>6</v>
      </c>
      <c r="E24" s="172" t="n">
        <v>5.1</v>
      </c>
      <c r="F24" s="172" t="n">
        <v>4.2</v>
      </c>
      <c r="G24" s="172" t="n">
        <v>3.3</v>
      </c>
      <c r="H24" s="172" t="n">
        <v>2.4</v>
      </c>
      <c r="I24" s="170" t="inlineStr">
        <is>
          <t>별도문의</t>
        </is>
      </c>
    </row>
    <row r="25" ht="60" customHeight="1" s="121">
      <c r="A25" s="12" t="n"/>
      <c r="B25" s="18" t="n"/>
      <c r="C25" s="18" t="n"/>
      <c r="D25" s="18" t="n"/>
      <c r="E25" s="18" t="n"/>
      <c r="F25" s="18" t="n"/>
      <c r="G25" s="18" t="n"/>
      <c r="H25" s="18" t="n"/>
      <c r="I25" s="18" t="n"/>
    </row>
    <row r="26" ht="60" customHeight="1" s="121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</row>
    <row r="27" ht="102" customFormat="1" customHeight="1" s="20">
      <c r="A27" s="13" t="inlineStr">
        <is>
          <t>Routes</t>
        </is>
      </c>
      <c r="B27" s="19" t="n"/>
      <c r="C27" s="19" t="n"/>
      <c r="D27" s="19" t="n"/>
      <c r="E27" s="19" t="n"/>
      <c r="F27" s="19" t="n"/>
      <c r="G27" s="19" t="n"/>
      <c r="H27" s="19" t="n"/>
      <c r="I27" s="19" t="n"/>
    </row>
    <row r="28" ht="60" customFormat="1" customHeight="1" s="16">
      <c r="A28" s="6" t="n"/>
      <c r="B28" s="6" t="n"/>
      <c r="C28" s="6" t="n"/>
      <c r="D28" s="7" t="inlineStr">
        <is>
          <t>COST PER THOUSAND (CPM)</t>
        </is>
      </c>
      <c r="E28" s="131" t="n"/>
      <c r="F28" s="131" t="n"/>
      <c r="G28" s="131" t="n"/>
      <c r="H28" s="131" t="n"/>
      <c r="I28" s="122" t="n"/>
    </row>
    <row r="29" ht="211.2" customFormat="1" customHeight="1" s="16">
      <c r="A29" s="6" t="inlineStr">
        <is>
          <t>Monthly volume range</t>
        </is>
      </c>
      <c r="B29" s="7" t="inlineStr">
        <is>
          <t xml:space="preserve">Category </t>
        </is>
      </c>
      <c r="C29" s="6" t="inlineStr">
        <is>
          <t>Free Usage Cap¹</t>
        </is>
      </c>
      <c r="D29" s="6" t="inlineStr">
        <is>
          <t>Free usage cap  
to 
100,000</t>
        </is>
      </c>
      <c r="E29" s="6" t="inlineStr">
        <is>
          <t>100,001
to
500,000</t>
        </is>
      </c>
      <c r="F29" s="6" t="inlineStr">
        <is>
          <t>500,001
to
1,000,000</t>
        </is>
      </c>
      <c r="G29" s="6" t="inlineStr">
        <is>
          <t>1,000,001
to
5,000,000</t>
        </is>
      </c>
      <c r="H29" s="6" t="inlineStr">
        <is>
          <t xml:space="preserve">5,000,001
to
10,000,000 </t>
        </is>
      </c>
      <c r="I29" s="6" t="inlineStr">
        <is>
          <t>10,000,000 +</t>
        </is>
      </c>
    </row>
    <row r="30" ht="60" customFormat="1" customHeight="1" s="16">
      <c r="A30" s="169" t="inlineStr">
        <is>
          <t xml:space="preserve">Routes: Compute Route Matrix Essentials </t>
        </is>
      </c>
      <c r="B30" s="9" t="inlineStr">
        <is>
          <t>Essentials</t>
        </is>
      </c>
      <c r="C30" s="9" t="n">
        <v>10000</v>
      </c>
      <c r="D30" s="174" t="n">
        <v>5</v>
      </c>
      <c r="E30" s="174" t="n">
        <v>4</v>
      </c>
      <c r="F30" s="171" t="n">
        <v>3</v>
      </c>
      <c r="G30" s="171" t="n">
        <v>1.5</v>
      </c>
      <c r="H30" s="171" t="n">
        <v>0.38</v>
      </c>
      <c r="I30" s="170" t="inlineStr">
        <is>
          <t>별도문의</t>
        </is>
      </c>
    </row>
    <row r="31" ht="60" customFormat="1" customHeight="1" s="16">
      <c r="A31" s="169" t="inlineStr">
        <is>
          <t xml:space="preserve">Routes: Compute Routes Essentials </t>
        </is>
      </c>
      <c r="B31" s="9" t="inlineStr">
        <is>
          <t>Essentials</t>
        </is>
      </c>
      <c r="C31" s="9" t="n">
        <v>10000</v>
      </c>
      <c r="D31" s="174" t="n">
        <v>5</v>
      </c>
      <c r="E31" s="174" t="n">
        <v>4</v>
      </c>
      <c r="F31" s="171" t="n">
        <v>3</v>
      </c>
      <c r="G31" s="171" t="n">
        <v>1.5</v>
      </c>
      <c r="H31" s="171" t="n">
        <v>0.38</v>
      </c>
      <c r="I31" s="170" t="inlineStr">
        <is>
          <t>별도문의</t>
        </is>
      </c>
    </row>
    <row r="32" ht="60" customFormat="1" customHeight="1" s="16">
      <c r="A32" s="169" t="inlineStr">
        <is>
          <t>Roads - Nearest Road</t>
        </is>
      </c>
      <c r="B32" s="9" t="inlineStr">
        <is>
          <t xml:space="preserve">Pro </t>
        </is>
      </c>
      <c r="C32" s="9" t="n">
        <v>5000</v>
      </c>
      <c r="D32" s="170" t="n">
        <v>10</v>
      </c>
      <c r="E32" s="170" t="n">
        <v>8</v>
      </c>
      <c r="F32" s="171" t="n">
        <v>6</v>
      </c>
      <c r="G32" s="171" t="n">
        <v>3</v>
      </c>
      <c r="H32" s="171" t="n">
        <v>0.76</v>
      </c>
      <c r="I32" s="170" t="inlineStr">
        <is>
          <t>별도문의</t>
        </is>
      </c>
    </row>
    <row r="33" ht="60" customFormat="1" customHeight="1" s="16">
      <c r="A33" s="169" t="inlineStr">
        <is>
          <t>Roads - Route Traveled</t>
        </is>
      </c>
      <c r="B33" s="9" t="inlineStr">
        <is>
          <t xml:space="preserve">Pro </t>
        </is>
      </c>
      <c r="C33" s="9" t="n">
        <v>5000</v>
      </c>
      <c r="D33" s="170" t="n">
        <v>10</v>
      </c>
      <c r="E33" s="170" t="n">
        <v>8</v>
      </c>
      <c r="F33" s="171" t="n">
        <v>6</v>
      </c>
      <c r="G33" s="171" t="n">
        <v>3</v>
      </c>
      <c r="H33" s="171" t="n">
        <v>0.76</v>
      </c>
      <c r="I33" s="170" t="inlineStr">
        <is>
          <t>별도문의</t>
        </is>
      </c>
    </row>
    <row r="34" ht="60" customFormat="1" customHeight="1" s="16">
      <c r="A34" s="169" t="inlineStr">
        <is>
          <t>Roads - Speed Limits²</t>
        </is>
      </c>
      <c r="B34" s="9" t="inlineStr">
        <is>
          <t xml:space="preserve">Pro </t>
        </is>
      </c>
      <c r="C34" s="9" t="n">
        <v>5000</v>
      </c>
      <c r="D34" s="170" t="n">
        <v>20</v>
      </c>
      <c r="E34" s="170" t="n">
        <v>16</v>
      </c>
      <c r="F34" s="171" t="n">
        <v>12</v>
      </c>
      <c r="G34" s="171" t="n">
        <v>12</v>
      </c>
      <c r="H34" s="171" t="n">
        <v>12</v>
      </c>
      <c r="I34" s="170" t="inlineStr">
        <is>
          <t>별도문의</t>
        </is>
      </c>
    </row>
    <row r="35" ht="60" customFormat="1" customHeight="1" s="16">
      <c r="A35" s="169" t="inlineStr">
        <is>
          <t>RouteOptimization - SingleVehicleRouting</t>
        </is>
      </c>
      <c r="B35" s="9" t="inlineStr">
        <is>
          <t xml:space="preserve">Pro </t>
        </is>
      </c>
      <c r="C35" s="9" t="n">
        <v>5000</v>
      </c>
      <c r="D35" s="175" t="n">
        <v>10</v>
      </c>
      <c r="E35" s="175" t="n">
        <v>4</v>
      </c>
      <c r="F35" s="175" t="n">
        <v>2</v>
      </c>
      <c r="G35" s="175" t="n">
        <v>0.8</v>
      </c>
      <c r="H35" s="175" t="n">
        <v>0.7</v>
      </c>
      <c r="I35" s="170" t="inlineStr">
        <is>
          <t>별도문의</t>
        </is>
      </c>
    </row>
    <row r="36" ht="60" customFormat="1" customHeight="1" s="16">
      <c r="A36" s="169" t="inlineStr">
        <is>
          <t xml:space="preserve">Routes: Compute Route Matrix Pro </t>
        </is>
      </c>
      <c r="B36" s="9" t="inlineStr">
        <is>
          <t xml:space="preserve">Pro </t>
        </is>
      </c>
      <c r="C36" s="9" t="n">
        <v>5000</v>
      </c>
      <c r="D36" s="174" t="n">
        <v>10</v>
      </c>
      <c r="E36" s="174" t="n">
        <v>8</v>
      </c>
      <c r="F36" s="171" t="n">
        <v>6</v>
      </c>
      <c r="G36" s="171" t="n">
        <v>3</v>
      </c>
      <c r="H36" s="171" t="n">
        <v>0.75</v>
      </c>
      <c r="I36" s="170" t="inlineStr">
        <is>
          <t>별도문의</t>
        </is>
      </c>
    </row>
    <row r="37" ht="60" customFormat="1" customHeight="1" s="16">
      <c r="A37" s="169" t="inlineStr">
        <is>
          <t>Routes: Compute Routes Pro</t>
        </is>
      </c>
      <c r="B37" s="9" t="inlineStr">
        <is>
          <t xml:space="preserve">Pro </t>
        </is>
      </c>
      <c r="C37" s="9" t="n">
        <v>5000</v>
      </c>
      <c r="D37" s="174" t="n">
        <v>10</v>
      </c>
      <c r="E37" s="174" t="n">
        <v>8</v>
      </c>
      <c r="F37" s="171" t="n">
        <v>6</v>
      </c>
      <c r="G37" s="171" t="n">
        <v>3</v>
      </c>
      <c r="H37" s="171" t="n">
        <v>0.75</v>
      </c>
      <c r="I37" s="170" t="inlineStr">
        <is>
          <t>별도문의</t>
        </is>
      </c>
    </row>
    <row r="38" ht="60" customFormat="1" customHeight="1" s="16">
      <c r="A38" s="169" t="inlineStr">
        <is>
          <t>RouteOptimization - FleetRouting</t>
        </is>
      </c>
      <c r="B38" s="9" t="inlineStr">
        <is>
          <t>Enterprise</t>
        </is>
      </c>
      <c r="C38" s="9" t="n">
        <v>1000</v>
      </c>
      <c r="D38" s="175" t="n">
        <v>30</v>
      </c>
      <c r="E38" s="175" t="n">
        <v>14</v>
      </c>
      <c r="F38" s="175" t="n">
        <v>6</v>
      </c>
      <c r="G38" s="175" t="n">
        <v>2.4</v>
      </c>
      <c r="H38" s="175" t="n">
        <v>2.1</v>
      </c>
      <c r="I38" s="170" t="inlineStr">
        <is>
          <t>별도문의</t>
        </is>
      </c>
    </row>
    <row r="39" ht="60" customFormat="1" customHeight="1" s="16">
      <c r="A39" s="169" t="inlineStr">
        <is>
          <t xml:space="preserve">Routes: Compute Route Matrix Enterprise </t>
        </is>
      </c>
      <c r="B39" s="9" t="inlineStr">
        <is>
          <t>Enterprise</t>
        </is>
      </c>
      <c r="C39" s="9" t="n">
        <v>1000</v>
      </c>
      <c r="D39" s="172" t="n">
        <v>15</v>
      </c>
      <c r="E39" s="172" t="n">
        <v>12</v>
      </c>
      <c r="F39" s="171" t="n">
        <v>9</v>
      </c>
      <c r="G39" s="171" t="n">
        <v>4.5</v>
      </c>
      <c r="H39" s="171" t="n">
        <v>1.14</v>
      </c>
      <c r="I39" s="170" t="inlineStr">
        <is>
          <t>별도문의</t>
        </is>
      </c>
    </row>
    <row r="40" ht="60" customFormat="1" customHeight="1" s="16">
      <c r="A40" s="169" t="inlineStr">
        <is>
          <t xml:space="preserve">Routes: Compute Routes Enterprise </t>
        </is>
      </c>
      <c r="B40" s="9" t="inlineStr">
        <is>
          <t>Enterprise</t>
        </is>
      </c>
      <c r="C40" s="9" t="n">
        <v>1000</v>
      </c>
      <c r="D40" s="172" t="n">
        <v>15</v>
      </c>
      <c r="E40" s="172" t="n">
        <v>12</v>
      </c>
      <c r="F40" s="171" t="n">
        <v>9</v>
      </c>
      <c r="G40" s="171" t="n">
        <v>4.5</v>
      </c>
      <c r="H40" s="171" t="n">
        <v>1.14</v>
      </c>
      <c r="I40" s="170" t="inlineStr">
        <is>
          <t>별도문의</t>
        </is>
      </c>
    </row>
    <row r="41" ht="60" customHeight="1" s="121">
      <c r="A41" s="23" t="n"/>
      <c r="B41" s="23" t="n"/>
      <c r="C41" s="23" t="n"/>
      <c r="D41" s="23" t="n"/>
      <c r="E41" s="23" t="n"/>
      <c r="F41" s="23" t="n"/>
      <c r="G41" s="23" t="n"/>
      <c r="H41" s="24" t="n"/>
      <c r="I41" s="24" t="n"/>
    </row>
    <row r="42" ht="264" customFormat="1" customHeight="1" s="16">
      <c r="A42" s="6" t="inlineStr">
        <is>
          <t>Monthly volume range</t>
        </is>
      </c>
      <c r="B42" s="6" t="n"/>
      <c r="C42" s="6" t="inlineStr">
        <is>
          <t>Free Usage Cap¹</t>
        </is>
      </c>
      <c r="D42" s="6" t="inlineStr">
        <is>
          <t>Free usage cap  
to
4,200,000 destinations</t>
        </is>
      </c>
      <c r="E42" s="6" t="inlineStr">
        <is>
          <t>4,200,000
to
16,800,000 destinations</t>
        </is>
      </c>
      <c r="F42" s="6" t="inlineStr">
        <is>
          <t>16,800,000 +</t>
        </is>
      </c>
      <c r="G42" s="25" t="n"/>
      <c r="H42" s="26" t="n"/>
      <c r="I42" s="26" t="n"/>
    </row>
    <row r="43" ht="60" customFormat="1" customHeight="1" s="16">
      <c r="A43" s="169" t="inlineStr">
        <is>
          <t>Navigation Request</t>
        </is>
      </c>
      <c r="B43" s="9" t="inlineStr">
        <is>
          <t>Enterprise</t>
        </is>
      </c>
      <c r="C43" s="9" t="n">
        <v>1000</v>
      </c>
      <c r="D43" s="176" t="n">
        <v>50</v>
      </c>
      <c r="E43" s="176" t="n">
        <v>39.5</v>
      </c>
      <c r="F43" s="176" t="n">
        <v>28</v>
      </c>
      <c r="G43" s="177" t="n"/>
      <c r="H43" s="26" t="n"/>
      <c r="I43" s="26" t="n"/>
    </row>
    <row r="44" ht="60" customHeight="1" s="121">
      <c r="A44" s="12" t="n"/>
      <c r="B44" s="12" t="n"/>
      <c r="C44" s="12" t="n"/>
      <c r="D44" s="12" t="n"/>
      <c r="E44" s="12" t="n"/>
      <c r="F44" s="12" t="n"/>
      <c r="G44" s="12" t="n"/>
      <c r="H44" s="12" t="n"/>
      <c r="I44" s="12" t="n"/>
    </row>
    <row r="45" ht="60" customHeight="1" s="121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</row>
    <row r="46" ht="102" customFormat="1" customHeight="1" s="20">
      <c r="A46" s="13" t="inlineStr">
        <is>
          <t>Places</t>
        </is>
      </c>
      <c r="B46" s="19" t="n"/>
      <c r="C46" s="19" t="n"/>
      <c r="D46" s="19" t="n"/>
      <c r="E46" s="19" t="n"/>
      <c r="F46" s="19" t="n"/>
      <c r="G46" s="19" t="n"/>
      <c r="H46" s="19" t="n"/>
      <c r="I46" s="19" t="n"/>
    </row>
    <row r="47" ht="60" customFormat="1" customHeight="1" s="16">
      <c r="A47" s="6" t="n"/>
      <c r="B47" s="6" t="n"/>
      <c r="C47" s="6" t="n"/>
      <c r="D47" s="7" t="inlineStr">
        <is>
          <t>COST PER THOUSAND (CPM)</t>
        </is>
      </c>
      <c r="E47" s="131" t="n"/>
      <c r="F47" s="131" t="n"/>
      <c r="G47" s="131" t="n"/>
      <c r="H47" s="131" t="n"/>
      <c r="I47" s="122" t="n"/>
    </row>
    <row r="48" ht="211.2" customFormat="1" customHeight="1" s="16">
      <c r="A48" s="6" t="inlineStr">
        <is>
          <t>Monthly volume range</t>
        </is>
      </c>
      <c r="B48" s="7" t="inlineStr">
        <is>
          <t xml:space="preserve">Category </t>
        </is>
      </c>
      <c r="C48" s="6" t="inlineStr">
        <is>
          <t>Free Usage Cap¹</t>
        </is>
      </c>
      <c r="D48" s="6" t="inlineStr">
        <is>
          <t>Free usage cap  
to 
100,000</t>
        </is>
      </c>
      <c r="E48" s="6" t="inlineStr">
        <is>
          <t>100,001
to
500,000</t>
        </is>
      </c>
      <c r="F48" s="6" t="inlineStr">
        <is>
          <t>500,001
to
1,000,000</t>
        </is>
      </c>
      <c r="G48" s="6" t="inlineStr">
        <is>
          <t>1,000,001
to
5,000,000</t>
        </is>
      </c>
      <c r="H48" s="6" t="inlineStr">
        <is>
          <t xml:space="preserve">5,000,001
to
10,000,000 </t>
        </is>
      </c>
      <c r="I48" s="6" t="inlineStr">
        <is>
          <t>10,000,000 +</t>
        </is>
      </c>
    </row>
    <row r="49" ht="60" customFormat="1" customHeight="1" s="16">
      <c r="A49" s="169" t="inlineStr">
        <is>
          <t>Autocomplete Session Usage</t>
        </is>
      </c>
      <c r="B49" s="9" t="inlineStr">
        <is>
          <t>Essentials</t>
        </is>
      </c>
      <c r="C49" s="9" t="inlineStr">
        <is>
          <t xml:space="preserve">Unlimited </t>
        </is>
      </c>
      <c r="D49" s="176" t="n">
        <v>0</v>
      </c>
      <c r="E49" s="176" t="n">
        <v>0</v>
      </c>
      <c r="F49" s="176" t="n">
        <v>0</v>
      </c>
      <c r="G49" s="176" t="n">
        <v>0</v>
      </c>
      <c r="H49" s="176" t="n">
        <v>0</v>
      </c>
      <c r="I49" s="170" t="inlineStr">
        <is>
          <t>별도문의</t>
        </is>
      </c>
    </row>
    <row r="50" ht="60" customFormat="1" customHeight="1" s="16">
      <c r="A50" s="169" t="inlineStr">
        <is>
          <t>Places API Place Details Essentials (IDs Only)</t>
        </is>
      </c>
      <c r="B50" s="9" t="inlineStr">
        <is>
          <t>Essentials</t>
        </is>
      </c>
      <c r="C50" s="9" t="inlineStr">
        <is>
          <t xml:space="preserve">Unlimited </t>
        </is>
      </c>
      <c r="D50" s="172" t="n">
        <v>0</v>
      </c>
      <c r="E50" s="172" t="n">
        <v>0</v>
      </c>
      <c r="F50" s="172" t="n">
        <v>0</v>
      </c>
      <c r="G50" s="172" t="n">
        <v>0</v>
      </c>
      <c r="H50" s="172" t="n">
        <v>0</v>
      </c>
      <c r="I50" s="170" t="inlineStr">
        <is>
          <t>별도문의</t>
        </is>
      </c>
    </row>
    <row r="51" ht="60" customFormat="1" customHeight="1" s="16">
      <c r="A51" s="169" t="inlineStr">
        <is>
          <t>Places API Text Search Essentials (IDs Only)</t>
        </is>
      </c>
      <c r="B51" s="9" t="inlineStr">
        <is>
          <t>Essentials</t>
        </is>
      </c>
      <c r="C51" s="9" t="inlineStr">
        <is>
          <t xml:space="preserve">Unlimited </t>
        </is>
      </c>
      <c r="D51" s="172" t="n">
        <v>0</v>
      </c>
      <c r="E51" s="172" t="n">
        <v>0</v>
      </c>
      <c r="F51" s="172" t="n">
        <v>0</v>
      </c>
      <c r="G51" s="172" t="n">
        <v>0</v>
      </c>
      <c r="H51" s="172" t="n">
        <v>0</v>
      </c>
      <c r="I51" s="170" t="inlineStr">
        <is>
          <t>별도문의</t>
        </is>
      </c>
    </row>
    <row r="52" ht="60" customFormat="1" customHeight="1" s="16">
      <c r="A52" s="169" t="inlineStr">
        <is>
          <t>Autocomplete Requests</t>
        </is>
      </c>
      <c r="B52" s="9" t="inlineStr">
        <is>
          <t>Essentials</t>
        </is>
      </c>
      <c r="C52" s="9" t="n">
        <v>10000</v>
      </c>
      <c r="D52" s="170" t="n">
        <v>2.83</v>
      </c>
      <c r="E52" s="170" t="n">
        <v>2.27</v>
      </c>
      <c r="F52" s="176" t="n">
        <v>1.7</v>
      </c>
      <c r="G52" s="176" t="n">
        <v>0.85</v>
      </c>
      <c r="H52" s="176" t="n">
        <v>0.21</v>
      </c>
      <c r="I52" s="170" t="inlineStr">
        <is>
          <t>별도문의</t>
        </is>
      </c>
    </row>
    <row r="53" ht="60" customFormat="1" customHeight="1" s="16">
      <c r="A53" s="169" t="inlineStr">
        <is>
          <t>Geocoding</t>
        </is>
      </c>
      <c r="B53" s="9" t="inlineStr">
        <is>
          <t>Essentials</t>
        </is>
      </c>
      <c r="C53" s="9" t="n">
        <v>10000</v>
      </c>
      <c r="D53" s="170" t="n">
        <v>5</v>
      </c>
      <c r="E53" s="170" t="n">
        <v>4</v>
      </c>
      <c r="F53" s="171" t="n">
        <v>3</v>
      </c>
      <c r="G53" s="171" t="n">
        <v>1.5</v>
      </c>
      <c r="H53" s="171" t="n">
        <v>0.38</v>
      </c>
      <c r="I53" s="170" t="inlineStr">
        <is>
          <t>별도문의</t>
        </is>
      </c>
    </row>
    <row r="54" ht="60" customFormat="1" customHeight="1" s="16">
      <c r="A54" s="169" t="inlineStr">
        <is>
          <t>Geolocation</t>
        </is>
      </c>
      <c r="B54" s="9" t="inlineStr">
        <is>
          <t>Essentials</t>
        </is>
      </c>
      <c r="C54" s="9" t="n">
        <v>10000</v>
      </c>
      <c r="D54" s="170" t="n">
        <v>5</v>
      </c>
      <c r="E54" s="170" t="n">
        <v>4</v>
      </c>
      <c r="F54" s="171" t="n">
        <v>3</v>
      </c>
      <c r="G54" s="171" t="n">
        <v>1.5</v>
      </c>
      <c r="H54" s="171" t="n">
        <v>0.38</v>
      </c>
      <c r="I54" s="170" t="inlineStr">
        <is>
          <t>별도문의</t>
        </is>
      </c>
    </row>
    <row r="55" ht="60" customFormat="1" customHeight="1" s="16">
      <c r="A55" s="169" t="inlineStr">
        <is>
          <t>Places API Place Details Essentials</t>
        </is>
      </c>
      <c r="B55" s="9" t="inlineStr">
        <is>
          <t>Essentials</t>
        </is>
      </c>
      <c r="C55" s="9" t="n">
        <v>10000</v>
      </c>
      <c r="D55" s="170" t="n">
        <v>5</v>
      </c>
      <c r="E55" s="170" t="n">
        <v>4</v>
      </c>
      <c r="F55" s="176" t="n">
        <v>3</v>
      </c>
      <c r="G55" s="176" t="n">
        <v>1.5</v>
      </c>
      <c r="H55" s="176" t="n">
        <v>0.38</v>
      </c>
      <c r="I55" s="170" t="inlineStr">
        <is>
          <t>별도문의</t>
        </is>
      </c>
    </row>
    <row r="56" ht="60" customFormat="1" customHeight="1" s="16">
      <c r="A56" s="178" t="inlineStr">
        <is>
          <t>Time Zone</t>
        </is>
      </c>
      <c r="B56" s="9" t="inlineStr">
        <is>
          <t>Essentials</t>
        </is>
      </c>
      <c r="C56" s="9" t="n">
        <v>10000</v>
      </c>
      <c r="D56" s="170" t="n">
        <v>5</v>
      </c>
      <c r="E56" s="170" t="n">
        <v>4</v>
      </c>
      <c r="F56" s="171" t="n">
        <v>3</v>
      </c>
      <c r="G56" s="171" t="n">
        <v>1.5</v>
      </c>
      <c r="H56" s="171" t="n">
        <v>0.38</v>
      </c>
      <c r="I56" s="170" t="inlineStr">
        <is>
          <t>별도문의</t>
        </is>
      </c>
    </row>
    <row r="57" ht="60" customFormat="1" customHeight="1" s="16">
      <c r="A57" s="169" t="inlineStr">
        <is>
          <t>Address Validation Pro</t>
        </is>
      </c>
      <c r="B57" s="9" t="inlineStr">
        <is>
          <t xml:space="preserve">Pro </t>
        </is>
      </c>
      <c r="C57" s="9" t="n">
        <v>5000</v>
      </c>
      <c r="D57" s="176" t="n">
        <v>17</v>
      </c>
      <c r="E57" s="176" t="n">
        <v>13.6</v>
      </c>
      <c r="F57" s="176" t="n">
        <v>10.2</v>
      </c>
      <c r="G57" s="176" t="n">
        <v>5.1</v>
      </c>
      <c r="H57" s="176" t="n">
        <v>1.28</v>
      </c>
      <c r="I57" s="170" t="inlineStr">
        <is>
          <t>별도문의</t>
        </is>
      </c>
    </row>
    <row r="58" ht="60" customFormat="1" customHeight="1" s="16">
      <c r="A58" s="169" t="inlineStr">
        <is>
          <t>Places API Nearby Search Pro</t>
        </is>
      </c>
      <c r="B58" s="9" t="inlineStr">
        <is>
          <t xml:space="preserve">Pro </t>
        </is>
      </c>
      <c r="C58" s="9" t="n">
        <v>5000</v>
      </c>
      <c r="D58" s="172" t="n">
        <v>32</v>
      </c>
      <c r="E58" s="172" t="n">
        <v>25.6</v>
      </c>
      <c r="F58" s="172" t="n">
        <v>19.2</v>
      </c>
      <c r="G58" s="172" t="n">
        <v>9.6</v>
      </c>
      <c r="H58" s="172" t="n">
        <v>2.4</v>
      </c>
      <c r="I58" s="170" t="inlineStr">
        <is>
          <t>별도문의</t>
        </is>
      </c>
    </row>
    <row r="59" ht="60" customFormat="1" customHeight="1" s="16">
      <c r="A59" s="169" t="inlineStr">
        <is>
          <t>Places API Place Details Pro</t>
        </is>
      </c>
      <c r="B59" s="9" t="inlineStr">
        <is>
          <t xml:space="preserve">Pro </t>
        </is>
      </c>
      <c r="C59" s="9" t="n">
        <v>5000</v>
      </c>
      <c r="D59" s="172" t="n">
        <v>17</v>
      </c>
      <c r="E59" s="172" t="n">
        <v>13.6</v>
      </c>
      <c r="F59" s="172" t="n">
        <v>10.2</v>
      </c>
      <c r="G59" s="172" t="n">
        <v>5.1</v>
      </c>
      <c r="H59" s="172" t="n">
        <v>1.28</v>
      </c>
      <c r="I59" s="170" t="inlineStr">
        <is>
          <t>별도문의</t>
        </is>
      </c>
    </row>
    <row r="60" ht="60" customFormat="1" customHeight="1" s="16">
      <c r="A60" s="169" t="inlineStr">
        <is>
          <t>Places API Text Search Pro</t>
        </is>
      </c>
      <c r="B60" s="9" t="inlineStr">
        <is>
          <t xml:space="preserve">Pro </t>
        </is>
      </c>
      <c r="C60" s="9" t="n">
        <v>5000</v>
      </c>
      <c r="D60" s="172" t="n">
        <v>32</v>
      </c>
      <c r="E60" s="172" t="n">
        <v>25.6</v>
      </c>
      <c r="F60" s="172" t="n">
        <v>19.2</v>
      </c>
      <c r="G60" s="172" t="n">
        <v>9.6</v>
      </c>
      <c r="H60" s="172" t="n">
        <v>2.4</v>
      </c>
      <c r="I60" s="170" t="inlineStr">
        <is>
          <t>별도문의</t>
        </is>
      </c>
    </row>
    <row r="61" ht="60" customFormat="1" customHeight="1" s="16">
      <c r="A61" s="169" t="inlineStr">
        <is>
          <t xml:space="preserve">Address Validation Enterprise </t>
        </is>
      </c>
      <c r="B61" s="9" t="inlineStr">
        <is>
          <t>Enterprise</t>
        </is>
      </c>
      <c r="C61" s="9" t="n">
        <v>1000</v>
      </c>
      <c r="D61" s="170" t="n">
        <v>25</v>
      </c>
      <c r="E61" s="170" t="n">
        <v>20</v>
      </c>
      <c r="F61" s="176" t="n">
        <v>15</v>
      </c>
      <c r="G61" s="176" t="n">
        <v>7.5</v>
      </c>
      <c r="H61" s="176" t="n">
        <v>2.28</v>
      </c>
      <c r="I61" s="170" t="inlineStr">
        <is>
          <t>별도문의</t>
        </is>
      </c>
    </row>
    <row r="62" ht="60" customFormat="1" customHeight="1" s="16">
      <c r="A62" s="169" t="inlineStr">
        <is>
          <t xml:space="preserve">Places API Nearby Search Enterprise </t>
        </is>
      </c>
      <c r="B62" s="9" t="inlineStr">
        <is>
          <t>Enterprise</t>
        </is>
      </c>
      <c r="C62" s="9" t="n">
        <v>1000</v>
      </c>
      <c r="D62" s="172" t="n">
        <v>35</v>
      </c>
      <c r="E62" s="172" t="n">
        <v>28</v>
      </c>
      <c r="F62" s="172" t="n">
        <v>21</v>
      </c>
      <c r="G62" s="172" t="n">
        <v>10.5</v>
      </c>
      <c r="H62" s="172" t="n">
        <v>2.63</v>
      </c>
      <c r="I62" s="170" t="inlineStr">
        <is>
          <t>별도문의</t>
        </is>
      </c>
    </row>
    <row r="63" ht="60" customFormat="1" customHeight="1" s="16">
      <c r="A63" s="169" t="inlineStr">
        <is>
          <t xml:space="preserve">Places API Nearby Search Enterprise + Atmosphere </t>
        </is>
      </c>
      <c r="B63" s="9" t="inlineStr">
        <is>
          <t>Enterprise</t>
        </is>
      </c>
      <c r="C63" s="9" t="n">
        <v>1000</v>
      </c>
      <c r="D63" s="172" t="n">
        <v>40</v>
      </c>
      <c r="E63" s="172" t="n">
        <v>32</v>
      </c>
      <c r="F63" s="172" t="n">
        <v>24</v>
      </c>
      <c r="G63" s="172" t="n">
        <v>12</v>
      </c>
      <c r="H63" s="172" t="n">
        <v>3.4</v>
      </c>
      <c r="I63" s="170" t="inlineStr">
        <is>
          <t>별도문의</t>
        </is>
      </c>
    </row>
    <row r="64" ht="60" customFormat="1" customHeight="1" s="16">
      <c r="A64" s="169" t="inlineStr">
        <is>
          <t xml:space="preserve">Places API Place Details Enterprise </t>
        </is>
      </c>
      <c r="B64" s="9" t="inlineStr">
        <is>
          <t>Enterprise</t>
        </is>
      </c>
      <c r="C64" s="9" t="n">
        <v>1000</v>
      </c>
      <c r="D64" s="172" t="n">
        <v>20</v>
      </c>
      <c r="E64" s="172" t="n">
        <v>16</v>
      </c>
      <c r="F64" s="172" t="n">
        <v>12</v>
      </c>
      <c r="G64" s="172" t="n">
        <v>6</v>
      </c>
      <c r="H64" s="172" t="n">
        <v>1.51</v>
      </c>
      <c r="I64" s="170" t="inlineStr">
        <is>
          <t>별도문의</t>
        </is>
      </c>
    </row>
    <row r="65" ht="60" customFormat="1" customHeight="1" s="16">
      <c r="A65" s="169" t="inlineStr">
        <is>
          <t xml:space="preserve">Places API Place Details Enterprise + Atmosphere </t>
        </is>
      </c>
      <c r="B65" s="9" t="inlineStr">
        <is>
          <t>Enterprise</t>
        </is>
      </c>
      <c r="C65" s="9" t="n">
        <v>1000</v>
      </c>
      <c r="D65" s="172" t="n">
        <v>25</v>
      </c>
      <c r="E65" s="172" t="n">
        <v>20</v>
      </c>
      <c r="F65" s="172" t="n">
        <v>15</v>
      </c>
      <c r="G65" s="172" t="n">
        <v>7.5</v>
      </c>
      <c r="H65" s="172" t="n">
        <v>2.28</v>
      </c>
      <c r="I65" s="170" t="inlineStr">
        <is>
          <t>별도문의</t>
        </is>
      </c>
    </row>
    <row r="66" ht="60" customFormat="1" customHeight="1" s="16">
      <c r="A66" s="169" t="inlineStr">
        <is>
          <t xml:space="preserve">Places API Place Details Photos </t>
        </is>
      </c>
      <c r="B66" s="9" t="inlineStr">
        <is>
          <t>Enterprise</t>
        </is>
      </c>
      <c r="C66" s="9" t="n">
        <v>1000</v>
      </c>
      <c r="D66" s="172" t="n">
        <v>7</v>
      </c>
      <c r="E66" s="172" t="n">
        <v>5.6</v>
      </c>
      <c r="F66" s="172" t="n">
        <v>4.2</v>
      </c>
      <c r="G66" s="172" t="n">
        <v>2.1</v>
      </c>
      <c r="H66" s="172" t="n">
        <v>0.53</v>
      </c>
      <c r="I66" s="170" t="inlineStr">
        <is>
          <t>별도문의</t>
        </is>
      </c>
    </row>
    <row r="67" ht="60" customFormat="1" customHeight="1" s="16">
      <c r="A67" s="169" t="inlineStr">
        <is>
          <t xml:space="preserve">Places API Text Search Enterprise </t>
        </is>
      </c>
      <c r="B67" s="9" t="inlineStr">
        <is>
          <t>Enterprise</t>
        </is>
      </c>
      <c r="C67" s="9" t="n">
        <v>1000</v>
      </c>
      <c r="D67" s="172" t="n">
        <v>35</v>
      </c>
      <c r="E67" s="172" t="n">
        <v>28</v>
      </c>
      <c r="F67" s="172" t="n">
        <v>21</v>
      </c>
      <c r="G67" s="172" t="n">
        <v>10.5</v>
      </c>
      <c r="H67" s="172" t="n">
        <v>2.63</v>
      </c>
      <c r="I67" s="170" t="inlineStr">
        <is>
          <t>별도문의</t>
        </is>
      </c>
    </row>
    <row r="68" ht="60" customFormat="1" customHeight="1" s="16">
      <c r="A68" s="169" t="inlineStr">
        <is>
          <t xml:space="preserve">Places API Text Search Enterprise + Atmosphere </t>
        </is>
      </c>
      <c r="B68" s="9" t="inlineStr">
        <is>
          <t>Enterprise</t>
        </is>
      </c>
      <c r="C68" s="9" t="n">
        <v>1000</v>
      </c>
      <c r="D68" s="172" t="n">
        <v>40</v>
      </c>
      <c r="E68" s="172" t="n">
        <v>32</v>
      </c>
      <c r="F68" s="172" t="n">
        <v>24</v>
      </c>
      <c r="G68" s="172" t="n">
        <v>12</v>
      </c>
      <c r="H68" s="172" t="n">
        <v>3.4</v>
      </c>
      <c r="I68" s="170" t="inlineStr">
        <is>
          <t>별도문의</t>
        </is>
      </c>
    </row>
    <row r="69" ht="60" customHeight="1" s="121">
      <c r="A69" s="12" t="n"/>
      <c r="B69" s="12" t="n"/>
      <c r="C69" s="12" t="n"/>
      <c r="D69" s="12" t="n"/>
      <c r="E69" s="12" t="n"/>
      <c r="F69" s="12" t="n"/>
      <c r="G69" s="12" t="n"/>
      <c r="H69" s="17" t="n"/>
      <c r="I69" s="17" t="n"/>
    </row>
    <row r="70" ht="60" customHeight="1" s="121">
      <c r="A70" s="12" t="n"/>
      <c r="B70" s="12" t="n"/>
      <c r="C70" s="12" t="n"/>
      <c r="D70" s="12" t="n"/>
      <c r="E70" s="12" t="n"/>
      <c r="F70" s="12" t="n"/>
      <c r="G70" s="12" t="n"/>
      <c r="H70" s="12" t="n"/>
      <c r="I70" s="12" t="n"/>
    </row>
    <row r="71" ht="102" customFormat="1" customHeight="1" s="20">
      <c r="A71" s="13" t="inlineStr">
        <is>
          <t>Environment</t>
        </is>
      </c>
      <c r="B71" s="19" t="n"/>
      <c r="C71" s="19" t="n"/>
      <c r="D71" s="19" t="n"/>
      <c r="E71" s="19" t="n"/>
      <c r="F71" s="19" t="n"/>
      <c r="G71" s="19" t="n"/>
      <c r="H71" s="19" t="n"/>
      <c r="I71" s="19" t="n"/>
    </row>
    <row r="72" ht="60" customFormat="1" customHeight="1" s="16">
      <c r="A72" s="6" t="n"/>
      <c r="B72" s="6" t="n"/>
      <c r="C72" s="6" t="n"/>
      <c r="D72" s="7" t="inlineStr">
        <is>
          <t>COST PER THOUSAND (CPM)</t>
        </is>
      </c>
      <c r="E72" s="131" t="n"/>
      <c r="F72" s="131" t="n"/>
      <c r="G72" s="131" t="n"/>
      <c r="H72" s="131" t="n"/>
      <c r="I72" s="122" t="n"/>
    </row>
    <row r="73" ht="241.2" customFormat="1" customHeight="1" s="16">
      <c r="A73" s="6" t="inlineStr">
        <is>
          <t>Monthly volume range</t>
        </is>
      </c>
      <c r="B73" s="7" t="inlineStr">
        <is>
          <t xml:space="preserve">Category </t>
        </is>
      </c>
      <c r="C73" s="6" t="inlineStr">
        <is>
          <t>Free Usage Cap¹</t>
        </is>
      </c>
      <c r="D73" s="6" t="inlineStr">
        <is>
          <t>Free usage cap  
to 
100,000</t>
        </is>
      </c>
      <c r="E73" s="6" t="inlineStr">
        <is>
          <t>100,001
to
500,000</t>
        </is>
      </c>
      <c r="F73" s="6" t="inlineStr">
        <is>
          <t>500,001
to
1,000,000</t>
        </is>
      </c>
      <c r="G73" s="6" t="inlineStr">
        <is>
          <t>1,000,001
to
5,000,000</t>
        </is>
      </c>
      <c r="H73" s="6" t="inlineStr">
        <is>
          <t xml:space="preserve">5,000,001
to
10,000,000 </t>
        </is>
      </c>
      <c r="I73" s="6" t="inlineStr">
        <is>
          <t>10,000,000 +</t>
        </is>
      </c>
    </row>
    <row r="74" ht="60" customFormat="1" customHeight="1" s="16">
      <c r="A74" s="169" t="inlineStr">
        <is>
          <t>Air Quality Usage</t>
        </is>
      </c>
      <c r="B74" s="9" t="inlineStr">
        <is>
          <t>Essentials</t>
        </is>
      </c>
      <c r="C74" s="9" t="n">
        <v>10000</v>
      </c>
      <c r="D74" s="172" t="n">
        <v>5</v>
      </c>
      <c r="E74" s="172" t="n">
        <v>4</v>
      </c>
      <c r="F74" s="176" t="n">
        <v>2</v>
      </c>
      <c r="G74" s="176" t="n">
        <v>0.5</v>
      </c>
      <c r="H74" s="176" t="n">
        <v>0.25</v>
      </c>
      <c r="I74" s="170" t="inlineStr">
        <is>
          <t>별도문의</t>
        </is>
      </c>
    </row>
    <row r="75" ht="60" customFormat="1" customHeight="1" s="16">
      <c r="A75" s="169" t="inlineStr">
        <is>
          <t>Solar API Building Insights</t>
        </is>
      </c>
      <c r="B75" s="9" t="inlineStr">
        <is>
          <t>Essentials</t>
        </is>
      </c>
      <c r="C75" s="9" t="n">
        <v>10000</v>
      </c>
      <c r="D75" s="176" t="n">
        <v>10</v>
      </c>
      <c r="E75" s="176" t="n">
        <v>5</v>
      </c>
      <c r="F75" s="176" t="n">
        <v>4.5</v>
      </c>
      <c r="G75" s="176" t="n">
        <v>4</v>
      </c>
      <c r="H75" s="176" t="n">
        <v>3.5</v>
      </c>
      <c r="I75" s="170" t="inlineStr">
        <is>
          <t>별도문의</t>
        </is>
      </c>
    </row>
    <row r="76" ht="60" customFormat="1" customHeight="1" s="16">
      <c r="A76" s="169" t="inlineStr">
        <is>
          <t>Pollen Usage</t>
        </is>
      </c>
      <c r="B76" s="9" t="inlineStr">
        <is>
          <t xml:space="preserve">Pro </t>
        </is>
      </c>
      <c r="C76" s="9" t="n">
        <v>5000</v>
      </c>
      <c r="D76" s="172" t="n">
        <v>10</v>
      </c>
      <c r="E76" s="172" t="n">
        <v>8</v>
      </c>
      <c r="F76" s="176" t="n">
        <v>4</v>
      </c>
      <c r="G76" s="176" t="n">
        <v>1</v>
      </c>
      <c r="H76" s="176" t="n">
        <v>0.5</v>
      </c>
      <c r="I76" s="170" t="inlineStr">
        <is>
          <t>별도문의</t>
        </is>
      </c>
    </row>
    <row r="77" ht="60" customFormat="1" customHeight="1" s="16">
      <c r="A77" s="169" t="inlineStr">
        <is>
          <t>Solar API Data Layers</t>
        </is>
      </c>
      <c r="B77" s="9" t="inlineStr">
        <is>
          <t>Enterprise</t>
        </is>
      </c>
      <c r="C77" s="9" t="n">
        <v>1000</v>
      </c>
      <c r="D77" s="176" t="n">
        <v>75</v>
      </c>
      <c r="E77" s="176" t="n">
        <v>37.5</v>
      </c>
      <c r="F77" s="176" t="n">
        <v>33.75</v>
      </c>
      <c r="G77" s="176" t="n">
        <v>30</v>
      </c>
      <c r="H77" s="176" t="n">
        <v>26.25</v>
      </c>
      <c r="I77" s="170" t="inlineStr">
        <is>
          <t>별도문의</t>
        </is>
      </c>
    </row>
    <row r="78" ht="60" customHeight="1" s="121">
      <c r="A78" s="12" t="n"/>
      <c r="B78" s="12" t="n"/>
      <c r="C78" s="12" t="n"/>
      <c r="D78" s="12" t="n"/>
      <c r="E78" s="12" t="n"/>
      <c r="F78" s="12" t="n"/>
      <c r="G78" s="12" t="n"/>
      <c r="H78" s="17" t="n"/>
      <c r="I78" s="17" t="n"/>
    </row>
    <row r="79" ht="60" customHeight="1" s="121">
      <c r="A79" s="12" t="n"/>
      <c r="B79" s="12" t="n"/>
      <c r="C79" s="12" t="n"/>
      <c r="D79" s="12" t="n"/>
      <c r="E79" s="12" t="n"/>
      <c r="F79" s="12" t="n"/>
      <c r="G79" s="12" t="n"/>
      <c r="H79" s="17" t="n"/>
      <c r="I79" s="17" t="n"/>
    </row>
    <row r="80" ht="102" customFormat="1" customHeight="1" s="20">
      <c r="A80" s="13" t="inlineStr">
        <is>
          <t>Places API - Legacy³</t>
        </is>
      </c>
      <c r="B80" s="19" t="n"/>
      <c r="C80" s="19" t="n"/>
      <c r="D80" s="19" t="n"/>
      <c r="E80" s="19" t="n"/>
      <c r="F80" s="19" t="n"/>
      <c r="G80" s="19" t="n"/>
      <c r="H80" s="19" t="n"/>
      <c r="I80" s="19" t="n"/>
    </row>
    <row r="81" ht="60" customFormat="1" customHeight="1" s="16">
      <c r="A81" s="6" t="n"/>
      <c r="B81" s="6" t="n"/>
      <c r="C81" s="6" t="n"/>
      <c r="D81" s="7" t="inlineStr">
        <is>
          <t>COST PER THOUSAND (CPM)</t>
        </is>
      </c>
      <c r="E81" s="131" t="n"/>
      <c r="F81" s="131" t="n"/>
      <c r="G81" s="131" t="n"/>
      <c r="H81" s="131" t="n"/>
      <c r="I81" s="122" t="n"/>
    </row>
    <row r="82" ht="211.2" customFormat="1" customHeight="1" s="16">
      <c r="A82" s="6" t="inlineStr">
        <is>
          <t>Monthly volume range</t>
        </is>
      </c>
      <c r="B82" s="7" t="inlineStr">
        <is>
          <t xml:space="preserve">Category </t>
        </is>
      </c>
      <c r="C82" s="6" t="inlineStr">
        <is>
          <t>Free Usage Cap¹</t>
        </is>
      </c>
      <c r="D82" s="6" t="inlineStr">
        <is>
          <t>Free usage cap  
to 
100,000</t>
        </is>
      </c>
      <c r="E82" s="6" t="inlineStr">
        <is>
          <t>100,001
to
500,000</t>
        </is>
      </c>
      <c r="F82" s="6" t="inlineStr">
        <is>
          <t>500,001
to
1,000,000</t>
        </is>
      </c>
      <c r="G82" s="6" t="inlineStr">
        <is>
          <t>1,000,001
to
5,000,000</t>
        </is>
      </c>
      <c r="H82" s="6" t="inlineStr">
        <is>
          <t xml:space="preserve">5,000,001
to
10,000,000 </t>
        </is>
      </c>
      <c r="I82" s="6" t="inlineStr">
        <is>
          <t>10,000,000 +</t>
        </is>
      </c>
    </row>
    <row r="83" ht="60" customFormat="1" customHeight="1" s="16">
      <c r="A83" s="169" t="inlineStr">
        <is>
          <t>Autocomplete (included with Places Details) - Per Session⁴</t>
        </is>
      </c>
      <c r="B83" s="9" t="inlineStr">
        <is>
          <t>Essentials</t>
        </is>
      </c>
      <c r="C83" s="9" t="inlineStr">
        <is>
          <t xml:space="preserve">Unlimited </t>
        </is>
      </c>
      <c r="D83" s="170" t="n">
        <v>0</v>
      </c>
      <c r="E83" s="170" t="n">
        <v>0</v>
      </c>
      <c r="F83" s="170" t="n">
        <v>0</v>
      </c>
      <c r="G83" s="170" t="n">
        <v>0</v>
      </c>
      <c r="H83" s="170" t="n">
        <v>0</v>
      </c>
      <c r="I83" s="170" t="inlineStr">
        <is>
          <t>별도문의</t>
        </is>
      </c>
    </row>
    <row r="84" ht="60" customFormat="1" customHeight="1" s="16">
      <c r="A84" s="169" t="inlineStr">
        <is>
          <t>Basic Data⁵</t>
        </is>
      </c>
      <c r="B84" s="9" t="inlineStr">
        <is>
          <t>Essentials</t>
        </is>
      </c>
      <c r="C84" s="9" t="inlineStr">
        <is>
          <t xml:space="preserve">Unlimited </t>
        </is>
      </c>
      <c r="D84" s="170" t="n">
        <v>0</v>
      </c>
      <c r="E84" s="170" t="n">
        <v>0</v>
      </c>
      <c r="F84" s="170" t="n">
        <v>0</v>
      </c>
      <c r="G84" s="170" t="n">
        <v>0</v>
      </c>
      <c r="H84" s="170" t="n">
        <v>0</v>
      </c>
      <c r="I84" s="170" t="inlineStr">
        <is>
          <t>별도문의</t>
        </is>
      </c>
    </row>
    <row r="85" ht="60" customFormat="1" customHeight="1" s="16">
      <c r="A85" s="169" t="inlineStr">
        <is>
          <t>Find Place - ID only</t>
        </is>
      </c>
      <c r="B85" s="9" t="inlineStr">
        <is>
          <t>Essentials</t>
        </is>
      </c>
      <c r="C85" s="9" t="inlineStr">
        <is>
          <t xml:space="preserve">Unlimited </t>
        </is>
      </c>
      <c r="D85" s="170" t="n">
        <v>0</v>
      </c>
      <c r="E85" s="170" t="n">
        <v>0</v>
      </c>
      <c r="F85" s="170" t="n">
        <v>0</v>
      </c>
      <c r="G85" s="170" t="n">
        <v>0</v>
      </c>
      <c r="H85" s="170" t="n">
        <v>0</v>
      </c>
      <c r="I85" s="170" t="inlineStr">
        <is>
          <t>별도문의</t>
        </is>
      </c>
    </row>
    <row r="86" ht="60" customFormat="1" customHeight="1" s="16">
      <c r="A86" s="169" t="inlineStr">
        <is>
          <t>Places Details - ID Refresh</t>
        </is>
      </c>
      <c r="B86" s="9" t="inlineStr">
        <is>
          <t>Essentials</t>
        </is>
      </c>
      <c r="C86" s="9" t="inlineStr">
        <is>
          <t xml:space="preserve">Unlimited </t>
        </is>
      </c>
      <c r="D86" s="170" t="n">
        <v>0</v>
      </c>
      <c r="E86" s="170" t="n">
        <v>0</v>
      </c>
      <c r="F86" s="170" t="n">
        <v>0</v>
      </c>
      <c r="G86" s="170" t="n">
        <v>0</v>
      </c>
      <c r="H86" s="170" t="n">
        <v>0</v>
      </c>
      <c r="I86" s="170" t="inlineStr">
        <is>
          <t>별도문의</t>
        </is>
      </c>
    </row>
    <row r="87" ht="60" customFormat="1" customHeight="1" s="16">
      <c r="A87" s="169" t="inlineStr">
        <is>
          <t>Autocomplete - Per Request</t>
        </is>
      </c>
      <c r="B87" s="9" t="inlineStr">
        <is>
          <t>Essentials</t>
        </is>
      </c>
      <c r="C87" s="9" t="n">
        <v>10000</v>
      </c>
      <c r="D87" s="170" t="n">
        <v>2.83</v>
      </c>
      <c r="E87" s="170" t="n">
        <v>2.27</v>
      </c>
      <c r="F87" s="171" t="n">
        <v>1.7</v>
      </c>
      <c r="G87" s="171" t="n">
        <v>0.85</v>
      </c>
      <c r="H87" s="171" t="n">
        <v>0.21</v>
      </c>
      <c r="I87" s="170" t="inlineStr">
        <is>
          <t>별도문의</t>
        </is>
      </c>
    </row>
    <row r="88" ht="60" customFormat="1" customHeight="1" s="16">
      <c r="A88" s="169" t="inlineStr">
        <is>
          <t>Query Autocomplete - Per Request</t>
        </is>
      </c>
      <c r="B88" s="9" t="inlineStr">
        <is>
          <t>Essentials</t>
        </is>
      </c>
      <c r="C88" s="9" t="n">
        <v>10000</v>
      </c>
      <c r="D88" s="170" t="n">
        <v>2.83</v>
      </c>
      <c r="E88" s="170" t="n">
        <v>2.27</v>
      </c>
      <c r="F88" s="171" t="n">
        <v>1.7</v>
      </c>
      <c r="G88" s="171" t="n">
        <v>0.85</v>
      </c>
      <c r="H88" s="171" t="n">
        <v>0.21</v>
      </c>
      <c r="I88" s="170" t="inlineStr">
        <is>
          <t>별도문의</t>
        </is>
      </c>
    </row>
    <row r="89" ht="60" customFormat="1" customHeight="1" s="16">
      <c r="A89" s="169" t="inlineStr">
        <is>
          <t>Autocomplete without Places Details - Per Session</t>
        </is>
      </c>
      <c r="B89" s="9" t="inlineStr">
        <is>
          <t xml:space="preserve">Pro </t>
        </is>
      </c>
      <c r="C89" s="9" t="n">
        <v>5000</v>
      </c>
      <c r="D89" s="170" t="n">
        <v>17</v>
      </c>
      <c r="E89" s="170" t="n">
        <v>13.6</v>
      </c>
      <c r="F89" s="171" t="n">
        <v>10.2</v>
      </c>
      <c r="G89" s="171" t="n">
        <v>5.1</v>
      </c>
      <c r="H89" s="171" t="n">
        <v>1.28</v>
      </c>
      <c r="I89" s="170" t="inlineStr">
        <is>
          <t>별도문의</t>
        </is>
      </c>
    </row>
    <row r="90" ht="60" customFormat="1" customHeight="1" s="16">
      <c r="A90" s="169" t="inlineStr">
        <is>
          <t>Find Current Place</t>
        </is>
      </c>
      <c r="B90" s="9" t="inlineStr">
        <is>
          <t xml:space="preserve">Pro </t>
        </is>
      </c>
      <c r="C90" s="9" t="n">
        <v>5000</v>
      </c>
      <c r="D90" s="170" t="n">
        <v>30</v>
      </c>
      <c r="E90" s="170" t="n">
        <v>24</v>
      </c>
      <c r="F90" s="171" t="n">
        <v>18</v>
      </c>
      <c r="G90" s="171" t="n">
        <v>9</v>
      </c>
      <c r="H90" s="171" t="n">
        <v>2.25</v>
      </c>
      <c r="I90" s="170" t="inlineStr">
        <is>
          <t>별도문의</t>
        </is>
      </c>
    </row>
    <row r="91" ht="60" customFormat="1" customHeight="1" s="16">
      <c r="A91" s="169" t="inlineStr">
        <is>
          <t>Find Place</t>
        </is>
      </c>
      <c r="B91" s="9" t="inlineStr">
        <is>
          <t xml:space="preserve">Pro </t>
        </is>
      </c>
      <c r="C91" s="9" t="n">
        <v>5000</v>
      </c>
      <c r="D91" s="170" t="n">
        <v>17</v>
      </c>
      <c r="E91" s="170" t="n">
        <v>13.6</v>
      </c>
      <c r="F91" s="171" t="n">
        <v>10.2</v>
      </c>
      <c r="G91" s="171" t="n">
        <v>5.1</v>
      </c>
      <c r="H91" s="171" t="n">
        <v>1.28</v>
      </c>
      <c r="I91" s="170" t="inlineStr">
        <is>
          <t>별도문의</t>
        </is>
      </c>
    </row>
    <row r="92" ht="60" customFormat="1" customHeight="1" s="16">
      <c r="A92" s="169" t="inlineStr">
        <is>
          <t>Places - Nearby Search</t>
        </is>
      </c>
      <c r="B92" s="9" t="inlineStr">
        <is>
          <t xml:space="preserve">Pro </t>
        </is>
      </c>
      <c r="C92" s="9" t="n">
        <v>5000</v>
      </c>
      <c r="D92" s="170" t="n">
        <v>32</v>
      </c>
      <c r="E92" s="170" t="n">
        <v>25.6</v>
      </c>
      <c r="F92" s="171" t="n">
        <v>19.2</v>
      </c>
      <c r="G92" s="171" t="n">
        <v>9.6</v>
      </c>
      <c r="H92" s="171" t="n">
        <v>2.4</v>
      </c>
      <c r="I92" s="170" t="inlineStr">
        <is>
          <t>별도문의</t>
        </is>
      </c>
    </row>
    <row r="93" ht="60" customFormat="1" customHeight="1" s="16">
      <c r="A93" s="169" t="inlineStr">
        <is>
          <t>Places - Text Search</t>
        </is>
      </c>
      <c r="B93" s="9" t="inlineStr">
        <is>
          <t xml:space="preserve">Pro </t>
        </is>
      </c>
      <c r="C93" s="9" t="n">
        <v>5000</v>
      </c>
      <c r="D93" s="170" t="n">
        <v>32</v>
      </c>
      <c r="E93" s="170" t="n">
        <v>25.6</v>
      </c>
      <c r="F93" s="171" t="n">
        <v>19.2</v>
      </c>
      <c r="G93" s="171" t="n">
        <v>9.6</v>
      </c>
      <c r="H93" s="171" t="n">
        <v>2.4</v>
      </c>
      <c r="I93" s="170" t="inlineStr">
        <is>
          <t>별도문의</t>
        </is>
      </c>
    </row>
    <row r="94" ht="60" customFormat="1" customHeight="1" s="16">
      <c r="A94" s="169" t="inlineStr">
        <is>
          <t>Places Details</t>
        </is>
      </c>
      <c r="B94" s="9" t="inlineStr">
        <is>
          <t xml:space="preserve">Pro </t>
        </is>
      </c>
      <c r="C94" s="9" t="n">
        <v>5000</v>
      </c>
      <c r="D94" s="170" t="n">
        <v>17</v>
      </c>
      <c r="E94" s="170" t="n">
        <v>13.6</v>
      </c>
      <c r="F94" s="171" t="n">
        <v>10.2</v>
      </c>
      <c r="G94" s="171" t="n">
        <v>5.1</v>
      </c>
      <c r="H94" s="171" t="n">
        <v>1.28</v>
      </c>
      <c r="I94" s="170" t="inlineStr">
        <is>
          <t>별도문의</t>
        </is>
      </c>
    </row>
    <row r="95" ht="60" customFormat="1" customHeight="1" s="16">
      <c r="A95" s="169" t="inlineStr">
        <is>
          <t>Atmosphere Data</t>
        </is>
      </c>
      <c r="B95" s="9" t="inlineStr">
        <is>
          <t>Enterprise</t>
        </is>
      </c>
      <c r="C95" s="9" t="n">
        <v>1000</v>
      </c>
      <c r="D95" s="170" t="n">
        <v>5</v>
      </c>
      <c r="E95" s="170" t="n">
        <v>4</v>
      </c>
      <c r="F95" s="171" t="n">
        <v>3</v>
      </c>
      <c r="G95" s="171" t="n">
        <v>1.5</v>
      </c>
      <c r="H95" s="171" t="n">
        <v>0.77</v>
      </c>
      <c r="I95" s="170" t="inlineStr">
        <is>
          <t>별도문의</t>
        </is>
      </c>
    </row>
    <row r="96" ht="60" customFormat="1" customHeight="1" s="16">
      <c r="A96" s="169" t="inlineStr">
        <is>
          <t>Contact Data</t>
        </is>
      </c>
      <c r="B96" s="9" t="inlineStr">
        <is>
          <t>Enterprise</t>
        </is>
      </c>
      <c r="C96" s="9" t="n">
        <v>1000</v>
      </c>
      <c r="D96" s="170" t="n">
        <v>3</v>
      </c>
      <c r="E96" s="170" t="n">
        <v>2.4</v>
      </c>
      <c r="F96" s="171" t="n">
        <v>1.8</v>
      </c>
      <c r="G96" s="171" t="n">
        <v>0.9</v>
      </c>
      <c r="H96" s="171" t="n">
        <v>0.23</v>
      </c>
      <c r="I96" s="170" t="inlineStr">
        <is>
          <t>별도문의</t>
        </is>
      </c>
    </row>
    <row r="97" ht="60" customFormat="1" customHeight="1" s="16">
      <c r="A97" s="169" t="inlineStr">
        <is>
          <t>Places Photo</t>
        </is>
      </c>
      <c r="B97" s="9" t="inlineStr">
        <is>
          <t>Enterprise</t>
        </is>
      </c>
      <c r="C97" s="9" t="n">
        <v>1000</v>
      </c>
      <c r="D97" s="170" t="n">
        <v>7</v>
      </c>
      <c r="E97" s="170" t="n">
        <v>5.6</v>
      </c>
      <c r="F97" s="171" t="n">
        <v>4.2</v>
      </c>
      <c r="G97" s="171" t="n">
        <v>2.1</v>
      </c>
      <c r="H97" s="171" t="n">
        <v>0.53</v>
      </c>
      <c r="I97" s="170" t="inlineStr">
        <is>
          <t>별도문의</t>
        </is>
      </c>
    </row>
    <row r="98" ht="60" customHeight="1" s="121">
      <c r="A98" s="12" t="n"/>
      <c r="B98" s="12" t="n"/>
      <c r="C98" s="12" t="n"/>
      <c r="D98" s="12" t="n"/>
      <c r="E98" s="12" t="n"/>
      <c r="F98" s="12" t="n"/>
      <c r="G98" s="12" t="n"/>
      <c r="H98" s="17" t="n"/>
      <c r="I98" s="17" t="n"/>
    </row>
    <row r="99" ht="60" customHeight="1" s="121">
      <c r="A99" s="12" t="n"/>
      <c r="B99" s="12" t="n"/>
      <c r="C99" s="12" t="n"/>
      <c r="D99" s="12" t="n"/>
      <c r="E99" s="12" t="n"/>
      <c r="F99" s="12" t="n"/>
      <c r="G99" s="12" t="n"/>
      <c r="H99" s="17" t="n"/>
      <c r="I99" s="17" t="n"/>
    </row>
    <row r="100" ht="102" customFormat="1" customHeight="1" s="20">
      <c r="A100" s="13" t="inlineStr">
        <is>
          <t>Routes - Legacy³</t>
        </is>
      </c>
      <c r="B100" s="19" t="n"/>
      <c r="C100" s="19" t="n"/>
      <c r="D100" s="19" t="n"/>
      <c r="E100" s="19" t="n"/>
      <c r="F100" s="19" t="n"/>
      <c r="G100" s="19" t="n"/>
      <c r="H100" s="19" t="n"/>
      <c r="I100" s="19" t="n"/>
    </row>
    <row r="101" ht="60" customFormat="1" customHeight="1" s="16">
      <c r="A101" s="6" t="n"/>
      <c r="B101" s="6" t="n"/>
      <c r="C101" s="6" t="n"/>
      <c r="D101" s="7" t="inlineStr">
        <is>
          <t>COST PER THOUSAND (CPM)</t>
        </is>
      </c>
      <c r="E101" s="131" t="n"/>
      <c r="F101" s="131" t="n"/>
      <c r="G101" s="131" t="n"/>
      <c r="H101" s="131" t="n"/>
      <c r="I101" s="122" t="n"/>
    </row>
    <row r="102" ht="211.2" customFormat="1" customHeight="1" s="16">
      <c r="A102" s="6" t="inlineStr">
        <is>
          <t>Monthly volume range</t>
        </is>
      </c>
      <c r="B102" s="7" t="inlineStr">
        <is>
          <t xml:space="preserve">Category </t>
        </is>
      </c>
      <c r="C102" s="6" t="inlineStr">
        <is>
          <t>Free Usage Cap¹</t>
        </is>
      </c>
      <c r="D102" s="6" t="inlineStr">
        <is>
          <t>Free usage cap  
to 
100,000</t>
        </is>
      </c>
      <c r="E102" s="6" t="inlineStr">
        <is>
          <t>100,001
to
500,000</t>
        </is>
      </c>
      <c r="F102" s="6" t="inlineStr">
        <is>
          <t>500,001
to
1,000,000</t>
        </is>
      </c>
      <c r="G102" s="6" t="inlineStr">
        <is>
          <t>1,000,001
to
5,000,000</t>
        </is>
      </c>
      <c r="H102" s="6" t="inlineStr">
        <is>
          <t xml:space="preserve">5,000,001
to
10,000,000 </t>
        </is>
      </c>
      <c r="I102" s="6" t="inlineStr">
        <is>
          <t>10,000,000 +</t>
        </is>
      </c>
    </row>
    <row r="103" ht="60" customFormat="1" customHeight="1" s="16">
      <c r="A103" s="169" t="inlineStr">
        <is>
          <t>Directions</t>
        </is>
      </c>
      <c r="B103" s="9" t="inlineStr">
        <is>
          <t>Essentials</t>
        </is>
      </c>
      <c r="C103" s="9" t="n">
        <v>10000</v>
      </c>
      <c r="D103" s="170" t="n">
        <v>5</v>
      </c>
      <c r="E103" s="170" t="n">
        <v>4</v>
      </c>
      <c r="F103" s="171" t="n">
        <v>3</v>
      </c>
      <c r="G103" s="171" t="n">
        <v>1.5</v>
      </c>
      <c r="H103" s="171" t="n">
        <v>0.38</v>
      </c>
      <c r="I103" s="170" t="inlineStr">
        <is>
          <t>별도문의</t>
        </is>
      </c>
    </row>
    <row r="104" ht="60" customFormat="1" customHeight="1" s="16">
      <c r="A104" s="169" t="inlineStr">
        <is>
          <t>Distance Matrix</t>
        </is>
      </c>
      <c r="B104" s="9" t="inlineStr">
        <is>
          <t>Essentials</t>
        </is>
      </c>
      <c r="C104" s="9" t="n">
        <v>10000</v>
      </c>
      <c r="D104" s="170" t="n">
        <v>5</v>
      </c>
      <c r="E104" s="170" t="n">
        <v>4</v>
      </c>
      <c r="F104" s="171" t="n">
        <v>3</v>
      </c>
      <c r="G104" s="171" t="n">
        <v>1.5</v>
      </c>
      <c r="H104" s="171" t="n">
        <v>0.38</v>
      </c>
      <c r="I104" s="170" t="inlineStr">
        <is>
          <t>별도문의</t>
        </is>
      </c>
    </row>
    <row r="105" ht="60" customFormat="1" customHeight="1" s="16">
      <c r="A105" s="169" t="inlineStr">
        <is>
          <t>Directions Advanced</t>
        </is>
      </c>
      <c r="B105" s="9" t="inlineStr">
        <is>
          <t xml:space="preserve">Pro </t>
        </is>
      </c>
      <c r="C105" s="9" t="n">
        <v>5000</v>
      </c>
      <c r="D105" s="170" t="n">
        <v>10</v>
      </c>
      <c r="E105" s="170" t="n">
        <v>8</v>
      </c>
      <c r="F105" s="171" t="n">
        <v>6</v>
      </c>
      <c r="G105" s="171" t="n">
        <v>3</v>
      </c>
      <c r="H105" s="171" t="n">
        <v>0.75</v>
      </c>
      <c r="I105" s="170" t="inlineStr">
        <is>
          <t>별도문의</t>
        </is>
      </c>
    </row>
    <row r="106" ht="60" customFormat="1" customHeight="1" s="16">
      <c r="A106" s="169" t="inlineStr">
        <is>
          <t>Distance Matrix Advanced</t>
        </is>
      </c>
      <c r="B106" s="9" t="inlineStr">
        <is>
          <t xml:space="preserve">Pro </t>
        </is>
      </c>
      <c r="C106" s="9" t="n">
        <v>5000</v>
      </c>
      <c r="D106" s="170" t="n">
        <v>10</v>
      </c>
      <c r="E106" s="170" t="n">
        <v>8</v>
      </c>
      <c r="F106" s="171" t="n">
        <v>6</v>
      </c>
      <c r="G106" s="171" t="n">
        <v>3</v>
      </c>
      <c r="H106" s="171" t="n">
        <v>0.75</v>
      </c>
      <c r="I106" s="170" t="inlineStr">
        <is>
          <t>별도문의</t>
        </is>
      </c>
    </row>
    <row r="107" ht="60" customHeight="1" s="121">
      <c r="A107" s="30" t="n"/>
      <c r="B107" s="31" t="n"/>
      <c r="C107" s="31" t="n"/>
      <c r="D107" s="31" t="n"/>
      <c r="E107" s="31" t="n"/>
      <c r="F107" s="31" t="n"/>
      <c r="G107" s="31" t="n"/>
      <c r="H107" s="32" t="n"/>
      <c r="I107" s="32" t="n"/>
    </row>
    <row r="108" ht="13.2" customHeight="1" s="121">
      <c r="A108" s="115" t="inlineStr">
        <is>
          <t xml:space="preserve">
¹ Free usage refers to monthly billable events available at no cost                                                    
² Limited access   
³ Effective March 1, 2025, you can no longer enable Legacy services
⁴ This SKU will show up as $0 on the bill, but you will be charged a Places Details API call and incur cost under that SKU   
⁵ Places Data SKUs are always charged in addition to the base SKU for the request triggering them</t>
        </is>
      </c>
    </row>
    <row r="109" ht="17.4" customHeight="1" s="121">
      <c r="A109" s="34" t="n"/>
      <c r="B109" s="34" t="n"/>
      <c r="C109" s="34" t="n"/>
      <c r="D109" s="34" t="n"/>
      <c r="E109" s="34" t="n"/>
      <c r="F109" s="34" t="n"/>
      <c r="G109" s="34" t="n"/>
      <c r="H109" s="34" t="n"/>
      <c r="I109" s="34" t="n"/>
    </row>
    <row r="110" ht="17.4" customHeight="1" s="121">
      <c r="A110" s="35" t="n"/>
      <c r="B110" s="35" t="n"/>
      <c r="C110" s="35" t="n"/>
      <c r="D110" s="179" t="n"/>
      <c r="E110" s="179" t="n"/>
      <c r="F110" s="179" t="n"/>
      <c r="G110" s="179" t="n"/>
      <c r="H110" s="179" t="n"/>
      <c r="I110" s="179" t="n"/>
    </row>
    <row r="111" ht="17.4" customHeight="1" s="121">
      <c r="A111" s="34" t="n"/>
      <c r="B111" s="34" t="n"/>
      <c r="C111" s="34" t="n"/>
      <c r="D111" s="34" t="n"/>
      <c r="E111" s="34" t="n"/>
      <c r="F111" s="34" t="n"/>
      <c r="G111" s="34" t="n"/>
      <c r="H111" s="37" t="n"/>
      <c r="I111" s="37" t="n"/>
    </row>
    <row r="112" ht="13.2" customHeight="1" s="121">
      <c r="A112" s="115" t="inlineStr">
        <is>
          <t xml:space="preserve">
¹ Free usage refers to monthly billable events available at no cost                                                    
² Limited access   
³ Effective March 1, 2025, you can no longer enable Legacy services
⁴ This SKU will show up as $0 on the bill, but you will be charged a Places Details API call and incur cost under that SKU   
⁵ Places Data SKUs are always charged in addition to the base SKU for the request triggering them</t>
        </is>
      </c>
    </row>
    <row r="113" ht="17.4" customHeight="1" s="121">
      <c r="A113" s="115" t="n"/>
      <c r="B113" s="115" t="n"/>
      <c r="C113" s="115" t="n"/>
      <c r="D113" s="115" t="n"/>
      <c r="E113" s="115" t="n"/>
      <c r="F113" s="115" t="n"/>
      <c r="G113" s="115" t="n"/>
      <c r="H113" s="115" t="n"/>
      <c r="I113" s="115" t="n"/>
    </row>
  </sheetData>
  <mergeCells count="10">
    <mergeCell ref="D81:I81"/>
    <mergeCell ref="D28:I28"/>
    <mergeCell ref="D22:I22"/>
    <mergeCell ref="D17:I17"/>
    <mergeCell ref="A112:H112"/>
    <mergeCell ref="A108:H108"/>
    <mergeCell ref="D3:I3"/>
    <mergeCell ref="D101:I101"/>
    <mergeCell ref="D72:I72"/>
    <mergeCell ref="D47:I47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혜윤 심</dc:creator>
  <dcterms:created xsi:type="dcterms:W3CDTF">2025-03-11T06:13:13Z</dcterms:created>
  <dcterms:modified xsi:type="dcterms:W3CDTF">2026-04-16T04:59:58Z</dcterms:modified>
  <cp:lastModifiedBy>혜윤 심</cp:lastModifiedBy>
  <cp:lastPrinted>2025-04-01T07:13:02Z</cp:lastPrinted>
</cp:coreProperties>
</file>