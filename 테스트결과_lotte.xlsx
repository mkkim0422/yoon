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1" autoFilterDateGrouping="1"/>
  </bookViews>
  <sheets>
    <sheet name="Invoice" sheetId="1" state="visible" r:id="rId1"/>
    <sheet name="Project" sheetId="2" state="visible" r:id="rId2"/>
    <sheet name="GMP Price List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2">
    <numFmt numFmtId="164" formatCode="&quot;$&quot;#,##0.00"/>
    <numFmt numFmtId="165" formatCode="&quot;$&quot;#,##0.000"/>
    <numFmt numFmtId="166" formatCode="_-* #,##0_-;\-* #,##0_-;_-* &quot;-&quot;_-;_-@_-"/>
    <numFmt numFmtId="167" formatCode="\$#,##0.00"/>
    <numFmt numFmtId="168" formatCode="&quot;₩&quot;#,##0_);[Red]\(&quot;₩&quot;#,##0\)"/>
    <numFmt numFmtId="169" formatCode="&quot;:   &quot;#,##0"/>
    <numFmt numFmtId="170" formatCode="&quot;₩&quot;#,##0"/>
    <numFmt numFmtId="171" formatCode="\$#,##0"/>
    <numFmt numFmtId="172" formatCode="&quot;₩&quot;#,##0.00"/>
    <numFmt numFmtId="173" formatCode="&quot;₩&quot;#,##0.00_);\(&quot;₩&quot;#,##0.00\)"/>
    <numFmt numFmtId="174" formatCode="#,##0_ "/>
    <numFmt numFmtId="175" formatCode="&quot;-&quot;#,##0"/>
  </numFmts>
  <fonts count="36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4A5960"/>
      <sz val="72"/>
      <scheme val="minor"/>
    </font>
    <font>
      <name val="맑은 고딕"/>
      <charset val="129"/>
      <family val="3"/>
      <color rgb="FFFFFFFF"/>
      <sz val="36"/>
      <scheme val="minor"/>
    </font>
    <font>
      <name val="돋움"/>
      <charset val="129"/>
      <family val="3"/>
      <sz val="8"/>
    </font>
    <font>
      <name val="맑은 고딕"/>
      <charset val="129"/>
      <family val="3"/>
      <color rgb="FF212121"/>
      <sz val="36"/>
      <scheme val="minor"/>
    </font>
    <font>
      <name val="맑은 고딕"/>
      <charset val="129"/>
      <family val="3"/>
      <sz val="36"/>
      <scheme val="minor"/>
    </font>
    <font>
      <name val="맑은 고딕"/>
      <charset val="129"/>
      <family val="3"/>
      <color rgb="FF000000"/>
      <sz val="36"/>
      <scheme val="minor"/>
    </font>
    <font>
      <name val="Arial"/>
      <family val="2"/>
      <color rgb="FF000000"/>
      <sz val="36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72"/>
      <scheme val="minor"/>
    </font>
    <font>
      <name val="Arial"/>
      <family val="2"/>
      <color rgb="FF000000"/>
      <sz val="72"/>
    </font>
    <font>
      <name val="맑은 고딕"/>
      <charset val="129"/>
      <family val="3"/>
      <color rgb="FFFFFFFF"/>
      <sz val="12"/>
      <scheme val="minor"/>
    </font>
    <font>
      <name val="맑은 고딕"/>
      <charset val="129"/>
      <family val="3"/>
      <sz val="12"/>
      <scheme val="minor"/>
    </font>
    <font>
      <name val="Roboto"/>
      <sz val="10"/>
    </font>
    <font>
      <name val="Roboto"/>
      <sz val="12"/>
    </font>
    <font>
      <name val="Arial"/>
      <family val="2"/>
      <sz val="10"/>
    </font>
    <font>
      <name val="Roboto"/>
      <color rgb="FF000000"/>
      <sz val="10"/>
    </font>
    <font>
      <name val="Roboto"/>
      <sz val="8"/>
    </font>
    <font>
      <name val="Calibri"/>
      <family val="2"/>
      <color theme="1"/>
      <sz val="11"/>
    </font>
    <font>
      <name val="Arial"/>
      <family val="2"/>
      <color rgb="FF000000"/>
      <sz val="10"/>
    </font>
    <font>
      <name val="Calibri"/>
      <family val="2"/>
      <color theme="1"/>
      <sz val="8"/>
    </font>
    <font>
      <name val="맑은 고딕"/>
      <charset val="129"/>
      <family val="2"/>
      <color theme="1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21212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theme="0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color theme="0"/>
      <sz val="10"/>
      <scheme val="minor"/>
    </font>
    <font>
      <name val="맑은 고딕"/>
      <charset val="129"/>
      <family val="3"/>
      <b val="1"/>
      <color theme="0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6" tint="0.7999816888943144"/>
        <bgColor rgb="FF9FC5E8"/>
      </patternFill>
    </fill>
    <fill>
      <patternFill patternType="solid">
        <fgColor theme="6" tint="-0.499984740745262"/>
        <bgColor rgb="FF9FC5E8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"/>
        <bgColor indexed="64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 applyAlignment="1">
      <alignment vertical="center"/>
    </xf>
    <xf numFmtId="0" fontId="21" fillId="0" borderId="0"/>
    <xf numFmtId="41" fontId="24" fillId="0" borderId="0" applyAlignment="1">
      <alignment vertical="center"/>
    </xf>
  </cellStyleXfs>
  <cellXfs count="118">
    <xf numFmtId="0" fontId="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left" vertical="center" wrapText="1"/>
    </xf>
    <xf numFmtId="3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164" fontId="8" fillId="0" borderId="3" applyAlignment="1" pivotButton="0" quotePrefix="0" xfId="0">
      <alignment horizontal="center" vertical="center" wrapText="1"/>
    </xf>
    <xf numFmtId="165" fontId="8" fillId="0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wrapText="1"/>
    </xf>
    <xf numFmtId="164" fontId="6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wrapText="1"/>
    </xf>
    <xf numFmtId="164" fontId="8" fillId="2" borderId="3" applyAlignment="1" pivotButton="0" quotePrefix="0" xfId="0">
      <alignment horizontal="center" vertical="center" wrapText="1"/>
    </xf>
    <xf numFmtId="164" fontId="8" fillId="2" borderId="0" applyAlignment="1" pivotButton="0" quotePrefix="0" xfId="0">
      <alignment horizontal="left" vertical="center" wrapText="1"/>
    </xf>
    <xf numFmtId="164" fontId="6" fillId="2" borderId="3" applyAlignment="1" pivotButton="0" quotePrefix="0" xfId="0">
      <alignment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164" fontId="18" fillId="2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6" fillId="5" borderId="3" applyAlignment="1" pivotButton="0" quotePrefix="0" xfId="0">
      <alignment horizontal="center" vertical="center" wrapText="1"/>
    </xf>
    <xf numFmtId="3" fontId="27" fillId="0" borderId="3" applyAlignment="1" pivotButton="0" quotePrefix="0" xfId="0">
      <alignment horizontal="center" vertical="center" wrapText="1"/>
    </xf>
    <xf numFmtId="166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center" vertical="center" wrapText="1"/>
    </xf>
    <xf numFmtId="0" fontId="28" fillId="4" borderId="3" applyAlignment="1" pivotButton="0" quotePrefix="0" xfId="0">
      <alignment vertical="center" wrapText="1"/>
    </xf>
    <xf numFmtId="166" fontId="28" fillId="4" borderId="3" applyAlignment="1" pivotButton="0" quotePrefix="0" xfId="0">
      <alignment vertical="center" wrapText="1"/>
    </xf>
    <xf numFmtId="0" fontId="30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vertical="center"/>
    </xf>
    <xf numFmtId="14" fontId="31" fillId="0" borderId="0" applyAlignment="1" pivotButton="0" quotePrefix="0" xfId="0">
      <alignment horizontal="left" vertical="center"/>
    </xf>
    <xf numFmtId="168" fontId="28" fillId="0" borderId="3" applyAlignment="1" pivotButton="0" quotePrefix="0" xfId="0">
      <alignment horizontal="right" vertical="center" wrapText="1"/>
    </xf>
    <xf numFmtId="0" fontId="32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 vertical="center"/>
    </xf>
    <xf numFmtId="169" fontId="33" fillId="0" borderId="0" applyAlignment="1" pivotButton="0" quotePrefix="0" xfId="0">
      <alignment horizontal="left" vertical="center"/>
    </xf>
    <xf numFmtId="167" fontId="30" fillId="0" borderId="0" applyAlignment="1" pivotButton="0" quotePrefix="0" xfId="0">
      <alignment vertical="center"/>
    </xf>
    <xf numFmtId="170" fontId="29" fillId="6" borderId="3" applyAlignment="1" pivotButton="0" quotePrefix="0" xfId="0">
      <alignment horizontal="right" vertical="center" wrapText="1"/>
    </xf>
    <xf numFmtId="171" fontId="28" fillId="0" borderId="3" applyAlignment="1" pivotButton="0" quotePrefix="0" xfId="0">
      <alignment horizontal="right" vertical="center" wrapText="1"/>
    </xf>
    <xf numFmtId="172" fontId="28" fillId="0" borderId="3" applyAlignment="1" pivotButton="0" quotePrefix="0" xfId="0">
      <alignment horizontal="right" vertical="center" wrapText="1"/>
    </xf>
    <xf numFmtId="0" fontId="25" fillId="0" borderId="0" applyAlignment="1" pivotButton="0" quotePrefix="1" xfId="0">
      <alignment vertical="center"/>
    </xf>
    <xf numFmtId="173" fontId="25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left" vertical="center"/>
    </xf>
    <xf numFmtId="41" fontId="34" fillId="0" borderId="0" applyAlignment="1" pivotButton="0" quotePrefix="0" xfId="0">
      <alignment horizontal="left" vertical="center"/>
    </xf>
    <xf numFmtId="169" fontId="35" fillId="0" borderId="0" applyAlignment="1" pivotButton="0" quotePrefix="0" xfId="0">
      <alignment horizontal="left" vertical="center"/>
    </xf>
    <xf numFmtId="167" fontId="27" fillId="0" borderId="3" applyAlignment="1" pivotButton="0" quotePrefix="0" xfId="0">
      <alignment horizontal="right" vertical="center" wrapText="1"/>
    </xf>
    <xf numFmtId="167" fontId="28" fillId="4" borderId="3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left" vertical="center" wrapText="1"/>
    </xf>
    <xf numFmtId="0" fontId="28" fillId="4" borderId="4" applyAlignment="1" pivotButton="0" quotePrefix="0" xfId="0">
      <alignment horizontal="center" vertical="center" wrapText="1"/>
    </xf>
    <xf numFmtId="0" fontId="28" fillId="4" borderId="5" applyAlignment="1" pivotButton="0" quotePrefix="0" xfId="0">
      <alignment horizontal="center" vertical="center" wrapText="1"/>
    </xf>
    <xf numFmtId="0" fontId="28" fillId="0" borderId="4" applyAlignment="1" pivotButton="0" quotePrefix="0" xfId="0">
      <alignment horizontal="left" vertical="center" wrapText="1"/>
    </xf>
    <xf numFmtId="0" fontId="28" fillId="0" borderId="5" applyAlignment="1" pivotButton="0" quotePrefix="0" xfId="0">
      <alignment horizontal="left" vertical="center" wrapText="1"/>
    </xf>
    <xf numFmtId="0" fontId="28" fillId="0" borderId="6" applyAlignment="1" pivotButton="0" quotePrefix="0" xfId="0">
      <alignment horizontal="left" vertical="center" wrapText="1"/>
    </xf>
    <xf numFmtId="164" fontId="27" fillId="7" borderId="3" applyAlignment="1" pivotButton="0" quotePrefix="0" xfId="0">
      <alignment horizontal="center" vertical="center" wrapText="1"/>
    </xf>
    <xf numFmtId="174" fontId="27" fillId="0" borderId="3" applyAlignment="1" pivotButton="0" quotePrefix="0" xfId="0">
      <alignment horizontal="center" vertical="center" wrapText="1"/>
    </xf>
    <xf numFmtId="175" fontId="27" fillId="0" borderId="3" applyAlignment="1" pivotButton="0" quotePrefix="0" xfId="0">
      <alignment horizontal="center" vertical="center" wrapText="1"/>
    </xf>
    <xf numFmtId="3" fontId="27" fillId="0" borderId="3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left" vertical="center" wrapText="1"/>
    </xf>
    <xf numFmtId="0" fontId="29" fillId="6" borderId="3" applyAlignment="1" pivotButton="0" quotePrefix="1" xfId="0">
      <alignment horizontal="left" vertical="center" wrapText="1"/>
    </xf>
    <xf numFmtId="0" fontId="29" fillId="6" borderId="3" applyAlignment="1" pivotButton="0" quotePrefix="0" xfId="0">
      <alignment horizontal="left" vertical="center" wrapText="1"/>
    </xf>
    <xf numFmtId="0" fontId="26" fillId="5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6" pivotButton="0" quotePrefix="0" xfId="0"/>
    <xf numFmtId="164" fontId="27" fillId="7" borderId="3" applyAlignment="1" pivotButton="0" quotePrefix="0" xfId="0">
      <alignment horizontal="center" vertical="center" wrapText="1"/>
    </xf>
    <xf numFmtId="174" fontId="27" fillId="0" borderId="3" applyAlignment="1" pivotButton="0" quotePrefix="0" xfId="0">
      <alignment horizontal="center" vertical="center" wrapText="1"/>
    </xf>
    <xf numFmtId="175" fontId="27" fillId="0" borderId="3" applyAlignment="1" pivotButton="0" quotePrefix="0" xfId="0">
      <alignment horizontal="center" vertical="center" wrapText="1"/>
    </xf>
    <xf numFmtId="166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righ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5" pivotButton="0" quotePrefix="0" xfId="0"/>
    <xf numFmtId="166" fontId="28" fillId="4" borderId="3" applyAlignment="1" pivotButton="0" quotePrefix="0" xfId="0">
      <alignment vertical="center" wrapText="1"/>
    </xf>
    <xf numFmtId="167" fontId="28" fillId="4" borderId="3" applyAlignment="1" pivotButton="0" quotePrefix="0" xfId="0">
      <alignment horizontal="right" vertical="center" wrapText="1"/>
    </xf>
    <xf numFmtId="167" fontId="30" fillId="0" borderId="0" applyAlignment="1" pivotButton="0" quotePrefix="0" xfId="0">
      <alignment vertical="center"/>
    </xf>
    <xf numFmtId="168" fontId="28" fillId="0" borderId="3" applyAlignment="1" pivotButton="0" quotePrefix="0" xfId="0">
      <alignment horizontal="right" vertical="center" wrapText="1"/>
    </xf>
    <xf numFmtId="171" fontId="28" fillId="0" borderId="3" applyAlignment="1" pivotButton="0" quotePrefix="0" xfId="0">
      <alignment horizontal="right" vertical="center" wrapText="1"/>
    </xf>
    <xf numFmtId="172" fontId="28" fillId="0" borderId="3" applyAlignment="1" pivotButton="0" quotePrefix="0" xfId="0">
      <alignment horizontal="right" vertical="center" wrapText="1"/>
    </xf>
    <xf numFmtId="170" fontId="29" fillId="6" borderId="3" applyAlignment="1" pivotButton="0" quotePrefix="0" xfId="0">
      <alignment horizontal="right" vertical="center" wrapText="1"/>
    </xf>
    <xf numFmtId="173" fontId="25" fillId="0" borderId="0" applyAlignment="1" pivotButton="0" quotePrefix="0" xfId="0">
      <alignment horizontal="left" vertical="center"/>
    </xf>
    <xf numFmtId="41" fontId="34" fillId="0" borderId="0" applyAlignment="1" pivotButton="0" quotePrefix="0" xfId="0">
      <alignment horizontal="left" vertical="center"/>
    </xf>
    <xf numFmtId="169" fontId="35" fillId="0" borderId="0" applyAlignment="1" pivotButton="0" quotePrefix="0" xfId="0">
      <alignment horizontal="left" vertical="center"/>
    </xf>
    <xf numFmtId="169" fontId="33" fillId="0" borderId="0" applyAlignment="1" pivotButton="0" quotePrefix="0" xfId="0">
      <alignment horizontal="left" vertical="center"/>
    </xf>
    <xf numFmtId="164" fontId="6" fillId="2" borderId="3" applyAlignment="1" pivotButton="0" quotePrefix="0" xfId="0">
      <alignment horizontal="left" vertical="center" wrapText="1"/>
    </xf>
    <xf numFmtId="164" fontId="6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165" fontId="8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164" fontId="8" fillId="2" borderId="3" applyAlignment="1" pivotButton="0" quotePrefix="0" xfId="0">
      <alignment horizontal="center" vertical="center" wrapText="1"/>
    </xf>
    <xf numFmtId="164" fontId="8" fillId="2" borderId="0" applyAlignment="1" pivotButton="0" quotePrefix="0" xfId="0">
      <alignment horizontal="left" vertical="center" wrapText="1"/>
    </xf>
    <xf numFmtId="164" fontId="6" fillId="2" borderId="3" applyAlignment="1" pivotButton="0" quotePrefix="0" xfId="0">
      <alignment vertical="center" wrapText="1"/>
    </xf>
    <xf numFmtId="164" fontId="18" fillId="2" borderId="0" applyAlignment="1" pivotButton="0" quotePrefix="0" xfId="0">
      <alignment horizontal="left" vertical="center" wrapText="1"/>
    </xf>
  </cellXfs>
  <cellStyles count="3">
    <cellStyle name="표준" xfId="0" builtinId="0"/>
    <cellStyle name="표준 5" xfId="1"/>
    <cellStyle name="쉼표 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22860</colOff>
      <row>0</row>
      <rowOff>91440</rowOff>
    </from>
    <to>
      <col>4</col>
      <colOff>762000</colOff>
      <row>2</row>
      <rowOff>196215</rowOff>
    </to>
    <grpSp>
      <nvGrpSpPr>
        <cNvPr id="9" name="그룹 8"/>
        <cNvGrpSpPr/>
      </nvGrpSpPr>
      <grpSpPr>
        <a:xfrm rot="0">
          <a:off x="683260" y="88265"/>
          <a:ext cx="5012690" cy="739775"/>
          <a:chOff x="131445" y="177165"/>
          <a:chExt cx="3810713" cy="607695"/>
        </a:xfrm>
      </grpSpPr>
      <pic>
        <nvPicPr>
          <cNvPr id="11" name="그림 10"/>
          <cNvPicPr>
            <a:picLocks noChangeAspect="1"/>
          </cNvPicPr>
        </nvPicPr>
        <blipFill>
          <a:blip r:embed="rId1"/>
          <a:stretch>
            <a:fillRect/>
          </a:stretch>
        </blipFill>
        <spPr>
          <a:xfrm>
            <a:off x="435376" y="331890"/>
            <a:ext cx="2248093" cy="283196"/>
          </a:xfrm>
          <a:prstGeom prst="rect">
            <avLst/>
          </a:prstGeom>
          <a:ln>
            <a:prstDash val="solid"/>
          </a:ln>
        </spPr>
      </pic>
    </grpSp>
    <clientData/>
  </twoCellAnchor>
  <twoCellAnchor editAs="oneCell">
    <from>
      <col>5</col>
      <colOff>106680</colOff>
      <row>85</row>
      <rowOff>167640</rowOff>
    </from>
    <to>
      <col>6</col>
      <colOff>656535</colOff>
      <row>90</row>
      <rowOff>46354</rowOff>
    </to>
    <pic>
      <nvPicPr>
        <cNvPr id="14" name="그림 1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5455920" y="17983200"/>
          <a:ext cx="1666820" cy="8496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1059180</colOff>
      <row>0</row>
      <rowOff>228600</rowOff>
    </from>
    <to>
      <col>8</col>
      <colOff>1247348</colOff>
      <row>2</row>
      <rowOff>191475</rowOff>
    </to>
    <pic>
      <nvPicPr>
        <cNvPr id="2" name="Picture 5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9364980" y="228600"/>
          <a:ext cx="1305133" cy="587715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22860</colOff>
      <row>0</row>
      <rowOff>91440</rowOff>
    </from>
    <to>
      <col>4</col>
      <colOff>762000</colOff>
      <row>2</row>
      <rowOff>196215</rowOff>
    </to>
    <grpSp>
      <nvGrpSpPr>
        <cNvPr id="2" name="그룹 1"/>
        <cNvGrpSpPr/>
      </nvGrpSpPr>
      <grpSpPr>
        <a:xfrm rot="0">
          <a:off x="683260" y="88265"/>
          <a:ext cx="5012690" cy="739775"/>
          <a:chOff x="131445" y="177165"/>
          <a:chExt cx="3810713" cy="607695"/>
        </a:xfrm>
      </grpSpPr>
      <pic>
        <nvPicPr>
          <cNvPr id="4" name="그림 3"/>
          <cNvPicPr>
            <a:picLocks noChangeAspect="1"/>
          </cNvPicPr>
        </nvPicPr>
        <blipFill>
          <a:blip r:embed="rId1"/>
          <a:stretch>
            <a:fillRect/>
          </a:stretch>
        </blipFill>
        <spPr>
          <a:xfrm>
            <a:off x="435376" y="331890"/>
            <a:ext cx="2248093" cy="283196"/>
          </a:xfrm>
          <a:prstGeom prst="rect">
            <avLst/>
          </a:prstGeom>
          <a:ln>
            <a:prstDash val="solid"/>
          </a:ln>
        </spPr>
      </pic>
    </grpSp>
    <clientData/>
  </twoCellAnchor>
  <twoCellAnchor editAs="oneCell">
    <from>
      <col>4</col>
      <colOff>967972</colOff>
      <row>0</row>
      <rowOff>222886</rowOff>
    </from>
    <to>
      <col>6</col>
      <colOff>29650</colOff>
      <row>2</row>
      <rowOff>182586</rowOff>
    </to>
    <pic>
      <nvPicPr>
        <cNvPr id="5" name="Picture 5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5913352" y="222886"/>
          <a:ext cx="1305133" cy="587715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21225</colOff>
      <row>0</row>
      <rowOff>93344</rowOff>
    </from>
    <ext cx="9644589" cy="1335405"/>
    <pic>
      <nvPicPr>
        <cNvPr id="3" name="image1.png" title="Image"/>
        <cNvPicPr preferRelativeResize="0"/>
      </nvPicPr>
      <blipFill>
        <a:blip cstate="print" r:embed="rId1"/>
        <a:stretch>
          <a:fillRect/>
        </a:stretch>
      </blipFill>
      <spPr>
        <a:xfrm>
          <a:off x="17415" y="97154"/>
          <a:ext cx="9644589" cy="133540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91"/>
  <sheetViews>
    <sheetView showGridLines="0" topLeftCell="A56" zoomScaleNormal="100" workbookViewId="0">
      <selection activeCell="A10" sqref="A10:XFD23"/>
    </sheetView>
  </sheetViews>
  <sheetFormatPr baseColWidth="8" defaultColWidth="8.6640625" defaultRowHeight="16"/>
  <cols>
    <col width="8.6640625" customWidth="1" style="45" min="1" max="1"/>
    <col width="26.9140625" customWidth="1" style="45" min="2" max="2"/>
    <col width="14.6640625" customWidth="1" style="45" min="3" max="8"/>
    <col width="17.6640625" customWidth="1" style="45" min="9" max="9"/>
    <col width="8.6640625" customWidth="1" style="45" min="10" max="16384"/>
  </cols>
  <sheetData>
    <row r="1" ht="25" customHeight="1" s="85">
      <c r="D1" s="46" t="n"/>
      <c r="E1" s="46" t="n"/>
      <c r="F1" s="46" t="n"/>
    </row>
    <row r="2" ht="25" customHeight="1" s="85">
      <c r="D2" s="46" t="n"/>
      <c r="E2" s="46" t="n"/>
      <c r="F2" s="46" t="n"/>
    </row>
    <row r="3" ht="20" customHeight="1" s="85">
      <c r="D3" s="46" t="n"/>
      <c r="E3" s="46" t="n"/>
      <c r="F3" s="46" t="n"/>
    </row>
    <row r="4" ht="20" customHeight="1" s="85">
      <c r="D4" s="46" t="n"/>
      <c r="E4" s="46" t="n"/>
      <c r="F4" s="46" t="n"/>
    </row>
    <row r="5" ht="20" customHeight="1" s="85">
      <c r="B5" s="48" t="inlineStr">
        <is>
          <t xml:space="preserve"> Invoice Date </t>
        </is>
      </c>
      <c r="C5" s="49" t="inlineStr">
        <is>
          <t>: 2026-04-06</t>
        </is>
      </c>
      <c r="D5" s="49" t="n"/>
      <c r="E5" s="49" t="n"/>
    </row>
    <row r="6" ht="20" customHeight="1" s="85">
      <c r="B6" s="48" t="inlineStr">
        <is>
          <t xml:space="preserve"> Billing Account Name  </t>
        </is>
      </c>
      <c r="C6" s="47" t="inlineStr">
        <is>
          <t>lotte-card</t>
        </is>
      </c>
      <c r="D6" s="47" t="n"/>
      <c r="E6" s="47" t="n"/>
    </row>
    <row r="7" ht="20" customHeight="1" s="85">
      <c r="B7" s="48" t="inlineStr">
        <is>
          <t xml:space="preserve"> Term of Use            </t>
        </is>
      </c>
      <c r="C7" s="47" t="inlineStr">
        <is>
          <t>2026-02-28 ~ 2026-03-31</t>
        </is>
      </c>
      <c r="D7" s="47" t="n"/>
      <c r="E7" s="47" t="n"/>
    </row>
    <row r="8"/>
    <row r="9" ht="17" customHeight="1" s="85">
      <c r="B9" s="79" t="inlineStr">
        <is>
          <t>API</t>
        </is>
      </c>
      <c r="C9" s="79" t="inlineStr">
        <is>
          <t>Usage</t>
        </is>
      </c>
      <c r="D9" s="79" t="inlineStr">
        <is>
          <t>Free Usage</t>
        </is>
      </c>
      <c r="E9" s="79" t="inlineStr">
        <is>
          <t>Subtotal</t>
        </is>
      </c>
      <c r="F9" s="79" t="inlineStr">
        <is>
          <t>할인 구간</t>
        </is>
      </c>
      <c r="G9" s="86" t="n"/>
      <c r="H9" s="79" t="inlineStr">
        <is>
          <t>단가</t>
        </is>
      </c>
      <c r="I9" s="79" t="inlineStr">
        <is>
          <t>Amount</t>
        </is>
      </c>
    </row>
    <row r="10" ht="17" customHeight="1" s="85">
      <c r="B10" s="87" t="inlineStr">
        <is>
          <t>Dynamic Maps</t>
        </is>
      </c>
      <c r="C10" s="88" t="n">
        <v>5581</v>
      </c>
      <c r="D10" s="89">
        <f>SUMIF('GMP Price List'!$A:$A,B10,'GMP Price List'!$C:$C)</f>
        <v/>
      </c>
      <c r="E10" s="75">
        <f>IF(C10-D10&gt;0,C10-D10,0)</f>
        <v/>
      </c>
      <c r="F10" s="75" t="inlineStr">
        <is>
          <t>0-100K</t>
        </is>
      </c>
      <c r="G10" s="90">
        <f>IF(E10&gt;100000,100000,E10)</f>
        <v/>
      </c>
      <c r="H10" s="91">
        <f>SUMIF('GMP Price List'!$A:$A,B10,'GMP Price List'!$D:$D)</f>
        <v/>
      </c>
      <c r="I10" s="92">
        <f>G10*H10/1000</f>
        <v/>
      </c>
    </row>
    <row r="11" ht="17" customHeight="1" s="85">
      <c r="B11" s="93" t="n"/>
      <c r="C11" s="93" t="n"/>
      <c r="D11" s="93" t="n"/>
      <c r="E11" s="93" t="n"/>
      <c r="F11" s="75" t="inlineStr">
        <is>
          <t>~500K</t>
        </is>
      </c>
      <c r="G11" s="90">
        <f>IF(E10&gt;500000,400000,E10-G10)</f>
        <v/>
      </c>
      <c r="H11" s="91">
        <f>SUMIF('GMP Price List'!$A:$A,B10,'GMP Price List'!$E:$E)</f>
        <v/>
      </c>
      <c r="I11" s="92">
        <f>G11*H11/1000</f>
        <v/>
      </c>
    </row>
    <row r="12" ht="17" customHeight="1" s="85">
      <c r="B12" s="93" t="n"/>
      <c r="C12" s="93" t="n"/>
      <c r="D12" s="93" t="n"/>
      <c r="E12" s="93" t="n"/>
      <c r="F12" s="75" t="inlineStr">
        <is>
          <t>~1M</t>
        </is>
      </c>
      <c r="G12" s="90">
        <f>IF(E10&gt;1000000,500000,E10-G10-G11)</f>
        <v/>
      </c>
      <c r="H12" s="91">
        <f>SUMIF('GMP Price List'!$A:$A,B10,'GMP Price List'!$F:$F)</f>
        <v/>
      </c>
      <c r="I12" s="92">
        <f>G12*H12/1000</f>
        <v/>
      </c>
    </row>
    <row r="13" ht="17" customHeight="1" s="85">
      <c r="B13" s="93" t="n"/>
      <c r="C13" s="93" t="n"/>
      <c r="D13" s="93" t="n"/>
      <c r="E13" s="93" t="n"/>
      <c r="F13" s="75" t="inlineStr">
        <is>
          <t>~5M</t>
        </is>
      </c>
      <c r="G13" s="90">
        <f>IF(E10&gt;5000000,4000000,E10-G10-G11-G12)</f>
        <v/>
      </c>
      <c r="H13" s="91">
        <f>SUMIF('GMP Price List'!$A:$A,B10,'GMP Price List'!$G:$G)</f>
        <v/>
      </c>
      <c r="I13" s="92">
        <f>G13*H13/1000</f>
        <v/>
      </c>
    </row>
    <row r="14" ht="17" customHeight="1" s="85">
      <c r="B14" s="94" t="n"/>
      <c r="C14" s="94" t="n"/>
      <c r="D14" s="94" t="n"/>
      <c r="E14" s="94" t="n"/>
      <c r="F14" s="75" t="inlineStr">
        <is>
          <t>~10M</t>
        </is>
      </c>
      <c r="G14" s="90">
        <f>IF(E10-G10-G11-G12-G13&gt;0,E10-G10-G11-G12-G13,0)</f>
        <v/>
      </c>
      <c r="H14" s="91">
        <f>SUMIF('GMP Price List'!$A:$A,B10,'GMP Price List'!$H:$H)</f>
        <v/>
      </c>
      <c r="I14" s="92">
        <f>G14*H14/1000</f>
        <v/>
      </c>
    </row>
    <row r="15" ht="17" customHeight="1" s="85">
      <c r="B15" s="67" t="inlineStr">
        <is>
          <t>소계</t>
        </is>
      </c>
      <c r="C15" s="95" t="n"/>
      <c r="D15" s="95" t="n"/>
      <c r="E15" s="95" t="n"/>
      <c r="F15" s="43" t="n"/>
      <c r="G15" s="96">
        <f>SUM(G10:G14)</f>
        <v/>
      </c>
      <c r="H15" s="43" t="n"/>
      <c r="I15" s="97">
        <f>ROUND(SUM(I10:I14),2)</f>
        <v/>
      </c>
      <c r="J15" s="98" t="n"/>
    </row>
    <row r="16" hidden="1" ht="17" customHeight="1" s="85">
      <c r="B16" s="87" t="inlineStr">
        <is>
          <t>Directions</t>
        </is>
      </c>
      <c r="C16" s="88" t="n">
        <v>0</v>
      </c>
      <c r="D16" s="89">
        <f>SUMIF('GMP Price List'!$A:$A,B16,'GMP Price List'!$C:$C)</f>
        <v/>
      </c>
      <c r="E16" s="75">
        <f>IF(C16-D16&gt;0,C16-D16,0)</f>
        <v/>
      </c>
      <c r="F16" s="75" t="inlineStr">
        <is>
          <t>0-100K</t>
        </is>
      </c>
      <c r="G16" s="90">
        <f>IF(E16&gt;100000,100000,E16)</f>
        <v/>
      </c>
      <c r="H16" s="91">
        <f>SUMIF('GMP Price List'!$A:$A,B16,'GMP Price List'!$D:$D)</f>
        <v/>
      </c>
      <c r="I16" s="92">
        <f>G16*H16/1000</f>
        <v/>
      </c>
    </row>
    <row r="17" hidden="1" ht="17" customHeight="1" s="85">
      <c r="B17" s="93" t="n"/>
      <c r="C17" s="93" t="n"/>
      <c r="D17" s="93" t="n"/>
      <c r="E17" s="93" t="n"/>
      <c r="F17" s="75" t="inlineStr">
        <is>
          <t>~500K</t>
        </is>
      </c>
      <c r="G17" s="90">
        <f>IF(E16&gt;500000,400000,E16-G16)</f>
        <v/>
      </c>
      <c r="H17" s="91">
        <f>SUMIF('GMP Price List'!$A:$A,B16,'GMP Price List'!$E:$E)</f>
        <v/>
      </c>
      <c r="I17" s="92">
        <f>G17*H17/1000</f>
        <v/>
      </c>
    </row>
    <row r="18" hidden="1" ht="17" customHeight="1" s="85">
      <c r="B18" s="93" t="n"/>
      <c r="C18" s="93" t="n"/>
      <c r="D18" s="93" t="n"/>
      <c r="E18" s="93" t="n"/>
      <c r="F18" s="75" t="inlineStr">
        <is>
          <t>~1M</t>
        </is>
      </c>
      <c r="G18" s="90">
        <f>IF(E16&gt;1000000,500000,E16-G16-G17)</f>
        <v/>
      </c>
      <c r="H18" s="91">
        <f>SUMIF('GMP Price List'!$A:$A,B16,'GMP Price List'!$F:$F)</f>
        <v/>
      </c>
      <c r="I18" s="92">
        <f>G18*H18/1000</f>
        <v/>
      </c>
    </row>
    <row r="19" hidden="1" ht="17" customHeight="1" s="85">
      <c r="B19" s="93" t="n"/>
      <c r="C19" s="93" t="n"/>
      <c r="D19" s="93" t="n"/>
      <c r="E19" s="93" t="n"/>
      <c r="F19" s="75" t="inlineStr">
        <is>
          <t>~5M</t>
        </is>
      </c>
      <c r="G19" s="90">
        <f>IF(E16&gt;5000000,4000000,E16-G16-G17-G18)</f>
        <v/>
      </c>
      <c r="H19" s="91">
        <f>SUMIF('GMP Price List'!$A:$A,B16,'GMP Price List'!$G:$G)</f>
        <v/>
      </c>
      <c r="I19" s="92">
        <f>G19*H19/1000</f>
        <v/>
      </c>
    </row>
    <row r="20" hidden="1" ht="17" customHeight="1" s="85">
      <c r="B20" s="94" t="n"/>
      <c r="C20" s="94" t="n"/>
      <c r="D20" s="94" t="n"/>
      <c r="E20" s="94" t="n"/>
      <c r="F20" s="75" t="inlineStr">
        <is>
          <t>~10M</t>
        </is>
      </c>
      <c r="G20" s="90">
        <f>IF(E16-G16-G17-G18-G19&gt;0,E16-G16-G17-G18-G19,0)</f>
        <v/>
      </c>
      <c r="H20" s="91">
        <f>SUMIF('GMP Price List'!$A:$A,B16,'GMP Price List'!$H:$H)</f>
        <v/>
      </c>
      <c r="I20" s="92">
        <f>G20*H20/1000</f>
        <v/>
      </c>
    </row>
    <row r="21" hidden="1" ht="17" customHeight="1" s="85">
      <c r="B21" s="67" t="inlineStr">
        <is>
          <t>소계</t>
        </is>
      </c>
      <c r="C21" s="95" t="n"/>
      <c r="D21" s="95" t="n"/>
      <c r="E21" s="95" t="n"/>
      <c r="F21" s="43" t="n"/>
      <c r="G21" s="96">
        <f>SUM(G16:G20)</f>
        <v/>
      </c>
      <c r="H21" s="43" t="n"/>
      <c r="I21" s="97">
        <f>ROUND(SUM(I16:I20),2)</f>
        <v/>
      </c>
      <c r="J21" s="98" t="n"/>
    </row>
    <row r="22" ht="17" customHeight="1" s="85">
      <c r="B22" s="87" t="inlineStr">
        <is>
          <t>Geocoding</t>
        </is>
      </c>
      <c r="C22" s="88" t="n">
        <v>1759</v>
      </c>
      <c r="D22" s="89">
        <f>SUMIF('GMP Price List'!$A:$A,B22,'GMP Price List'!$C:$C)</f>
        <v/>
      </c>
      <c r="E22" s="75">
        <f>IF(C22-D22&gt;0,C22-D22,0)</f>
        <v/>
      </c>
      <c r="F22" s="75" t="inlineStr">
        <is>
          <t>0-100K</t>
        </is>
      </c>
      <c r="G22" s="90">
        <f>IF(E22&gt;100000,100000,E22)</f>
        <v/>
      </c>
      <c r="H22" s="91">
        <f>SUMIF('GMP Price List'!$A:$A,B22,'GMP Price List'!$D:$D)</f>
        <v/>
      </c>
      <c r="I22" s="92">
        <f>G22*H22/1000</f>
        <v/>
      </c>
    </row>
    <row r="23" ht="17" customHeight="1" s="85">
      <c r="B23" s="93" t="n"/>
      <c r="C23" s="93" t="n"/>
      <c r="D23" s="93" t="n"/>
      <c r="E23" s="93" t="n"/>
      <c r="F23" s="75" t="inlineStr">
        <is>
          <t>~500K</t>
        </is>
      </c>
      <c r="G23" s="90">
        <f>IF(E22&gt;500000,400000,E22-G22)</f>
        <v/>
      </c>
      <c r="H23" s="91">
        <f>SUMIF('GMP Price List'!$A:$A,B22,'GMP Price List'!$E:$E)</f>
        <v/>
      </c>
      <c r="I23" s="92">
        <f>G23*H23/1000</f>
        <v/>
      </c>
    </row>
    <row r="24" ht="17" customHeight="1" s="85">
      <c r="B24" s="93" t="n"/>
      <c r="C24" s="93" t="n"/>
      <c r="D24" s="93" t="n"/>
      <c r="E24" s="93" t="n"/>
      <c r="F24" s="75" t="inlineStr">
        <is>
          <t>~1M</t>
        </is>
      </c>
      <c r="G24" s="90">
        <f>IF(E22&gt;1000000,500000,E22-G22-G23)</f>
        <v/>
      </c>
      <c r="H24" s="91">
        <f>SUMIF('GMP Price List'!$A:$A,B22,'GMP Price List'!$F:$F)</f>
        <v/>
      </c>
      <c r="I24" s="92">
        <f>G24*H24/1000</f>
        <v/>
      </c>
    </row>
    <row r="25" ht="17" customHeight="1" s="85">
      <c r="B25" s="93" t="n"/>
      <c r="C25" s="93" t="n"/>
      <c r="D25" s="93" t="n"/>
      <c r="E25" s="93" t="n"/>
      <c r="F25" s="75" t="inlineStr">
        <is>
          <t>~5M</t>
        </is>
      </c>
      <c r="G25" s="90">
        <f>IF(E22&gt;5000000,4000000,E22-G22-G23-G24)</f>
        <v/>
      </c>
      <c r="H25" s="91">
        <f>SUMIF('GMP Price List'!$A:$A,B22,'GMP Price List'!$G:$G)</f>
        <v/>
      </c>
      <c r="I25" s="92">
        <f>G25*H25/1000</f>
        <v/>
      </c>
    </row>
    <row r="26" ht="17" customHeight="1" s="85">
      <c r="B26" s="94" t="n"/>
      <c r="C26" s="94" t="n"/>
      <c r="D26" s="94" t="n"/>
      <c r="E26" s="94" t="n"/>
      <c r="F26" s="75" t="inlineStr">
        <is>
          <t>~10M</t>
        </is>
      </c>
      <c r="G26" s="90">
        <f>IF(E22-G22-G23-G24-G25&gt;0,E22-G22-G23-G24-G25,0)</f>
        <v/>
      </c>
      <c r="H26" s="91">
        <f>SUMIF('GMP Price List'!$A:$A,B22,'GMP Price List'!$H:$H)</f>
        <v/>
      </c>
      <c r="I26" s="92">
        <f>G26*H26/1000</f>
        <v/>
      </c>
    </row>
    <row r="27" ht="17" customHeight="1" s="85">
      <c r="B27" s="67" t="inlineStr">
        <is>
          <t>소계</t>
        </is>
      </c>
      <c r="C27" s="95" t="n"/>
      <c r="D27" s="95" t="n"/>
      <c r="E27" s="95" t="n"/>
      <c r="F27" s="43" t="n"/>
      <c r="G27" s="96">
        <f>SUM(G22:G26)</f>
        <v/>
      </c>
      <c r="H27" s="43" t="n"/>
      <c r="I27" s="97">
        <f>ROUND(SUM(I22:I26),2)</f>
        <v/>
      </c>
      <c r="J27" s="98" t="n"/>
    </row>
    <row r="28" hidden="1" ht="17" customHeight="1" s="85">
      <c r="B28" s="87" t="inlineStr">
        <is>
          <t>Autocomplete - Per Request</t>
        </is>
      </c>
      <c r="C28" s="88" t="n">
        <v>0</v>
      </c>
      <c r="D28" s="89">
        <f>SUMIF('GMP Price List'!$A:$A,B28,'GMP Price List'!$C:$C)</f>
        <v/>
      </c>
      <c r="E28" s="75">
        <f>IF(C28-D28&gt;0,C28-D28,0)</f>
        <v/>
      </c>
      <c r="F28" s="75" t="inlineStr">
        <is>
          <t>0-100K</t>
        </is>
      </c>
      <c r="G28" s="90">
        <f>IF(E28&gt;100000,100000,E28)</f>
        <v/>
      </c>
      <c r="H28" s="91">
        <f>SUMIF('GMP Price List'!$A:$A,B28,'GMP Price List'!$D:$D)</f>
        <v/>
      </c>
      <c r="I28" s="92">
        <f>G28*H28/1000</f>
        <v/>
      </c>
    </row>
    <row r="29" hidden="1" ht="17" customHeight="1" s="85">
      <c r="B29" s="93" t="n"/>
      <c r="C29" s="93" t="n"/>
      <c r="D29" s="93" t="n"/>
      <c r="E29" s="93" t="n"/>
      <c r="F29" s="75" t="inlineStr">
        <is>
          <t>~500K</t>
        </is>
      </c>
      <c r="G29" s="90">
        <f>IF(E28&gt;500000,400000,E28-G28)</f>
        <v/>
      </c>
      <c r="H29" s="91">
        <f>SUMIF('GMP Price List'!$A:$A,B28,'GMP Price List'!$E:$E)</f>
        <v/>
      </c>
      <c r="I29" s="92">
        <f>G29*H29/1000</f>
        <v/>
      </c>
    </row>
    <row r="30" hidden="1" ht="17" customHeight="1" s="85">
      <c r="B30" s="93" t="n"/>
      <c r="C30" s="93" t="n"/>
      <c r="D30" s="93" t="n"/>
      <c r="E30" s="93" t="n"/>
      <c r="F30" s="75" t="inlineStr">
        <is>
          <t>~1M</t>
        </is>
      </c>
      <c r="G30" s="90">
        <f>IF(E28&gt;1000000,500000,E28-G28-G29)</f>
        <v/>
      </c>
      <c r="H30" s="91">
        <f>SUMIF('GMP Price List'!$A:$A,B28,'GMP Price List'!$F:$F)</f>
        <v/>
      </c>
      <c r="I30" s="92">
        <f>G30*H30/1000</f>
        <v/>
      </c>
    </row>
    <row r="31" hidden="1" ht="17" customHeight="1" s="85">
      <c r="B31" s="93" t="n"/>
      <c r="C31" s="93" t="n"/>
      <c r="D31" s="93" t="n"/>
      <c r="E31" s="93" t="n"/>
      <c r="F31" s="75" t="inlineStr">
        <is>
          <t>~5M</t>
        </is>
      </c>
      <c r="G31" s="90">
        <f>IF(E28&gt;5000000,4000000,E28-G28-G29-G30)</f>
        <v/>
      </c>
      <c r="H31" s="91">
        <f>SUMIF('GMP Price List'!$A:$A,B28,'GMP Price List'!$G:$G)</f>
        <v/>
      </c>
      <c r="I31" s="92">
        <f>G31*H31/1000</f>
        <v/>
      </c>
    </row>
    <row r="32" hidden="1" ht="17" customHeight="1" s="85">
      <c r="B32" s="94" t="n"/>
      <c r="C32" s="94" t="n"/>
      <c r="D32" s="94" t="n"/>
      <c r="E32" s="94" t="n"/>
      <c r="F32" s="75" t="inlineStr">
        <is>
          <t>~10M</t>
        </is>
      </c>
      <c r="G32" s="90">
        <f>IF(E28-G28-G29-G30-G31&gt;0,E28-G28-G29-G30-G31,0)</f>
        <v/>
      </c>
      <c r="H32" s="91">
        <f>SUMIF('GMP Price List'!$A:$A,B28,'GMP Price List'!$H:$H)</f>
        <v/>
      </c>
      <c r="I32" s="92">
        <f>G32*H32/1000</f>
        <v/>
      </c>
    </row>
    <row r="33" hidden="1" ht="18" customHeight="1" s="85">
      <c r="B33" s="67" t="inlineStr">
        <is>
          <t>소계</t>
        </is>
      </c>
      <c r="C33" s="95" t="n"/>
      <c r="D33" s="95" t="n"/>
      <c r="E33" s="95" t="n"/>
      <c r="F33" s="43" t="n"/>
      <c r="G33" s="96">
        <f>SUM(G28:G32)</f>
        <v/>
      </c>
      <c r="H33" s="43" t="n"/>
      <c r="I33" s="97">
        <f>ROUND(SUM(I28:I32),2)</f>
        <v/>
      </c>
      <c r="J33" s="98" t="n"/>
    </row>
    <row r="34" hidden="1" ht="17" customHeight="1" s="85">
      <c r="B34" s="87" t="inlineStr">
        <is>
          <t>Autocomplete without Places Details - Per Session</t>
        </is>
      </c>
      <c r="C34" s="88" t="n">
        <v>0</v>
      </c>
      <c r="D34" s="89">
        <f>SUMIF('GMP Price List'!$A:$A,B34,'GMP Price List'!$C:$C)</f>
        <v/>
      </c>
      <c r="E34" s="75">
        <f>IF(C34-D34&gt;0,C34-D34,0)</f>
        <v/>
      </c>
      <c r="F34" s="75" t="inlineStr">
        <is>
          <t>0-100K</t>
        </is>
      </c>
      <c r="G34" s="90">
        <f>IF(E34&gt;100000,100000,E34)</f>
        <v/>
      </c>
      <c r="H34" s="91">
        <f>SUMIF('GMP Price List'!$A:$A,B34,'GMP Price List'!$D:$D)</f>
        <v/>
      </c>
      <c r="I34" s="92">
        <f>G34*H34/1000</f>
        <v/>
      </c>
    </row>
    <row r="35" hidden="1" ht="17" customHeight="1" s="85">
      <c r="B35" s="93" t="n"/>
      <c r="C35" s="93" t="n"/>
      <c r="D35" s="93" t="n"/>
      <c r="E35" s="93" t="n"/>
      <c r="F35" s="75" t="inlineStr">
        <is>
          <t>~500K</t>
        </is>
      </c>
      <c r="G35" s="90">
        <f>IF(E34&gt;500000,400000,E34-G34)</f>
        <v/>
      </c>
      <c r="H35" s="91">
        <f>SUMIF('GMP Price List'!$A:$A,B34,'GMP Price List'!$E:$E)</f>
        <v/>
      </c>
      <c r="I35" s="92">
        <f>G35*H35/1000</f>
        <v/>
      </c>
    </row>
    <row r="36" hidden="1" ht="17" customHeight="1" s="85">
      <c r="B36" s="93" t="n"/>
      <c r="C36" s="93" t="n"/>
      <c r="D36" s="93" t="n"/>
      <c r="E36" s="93" t="n"/>
      <c r="F36" s="75" t="inlineStr">
        <is>
          <t>~1M</t>
        </is>
      </c>
      <c r="G36" s="90">
        <f>IF(E34&gt;1000000,500000,E34-G34-G35)</f>
        <v/>
      </c>
      <c r="H36" s="91">
        <f>SUMIF('GMP Price List'!$A:$A,B34,'GMP Price List'!$F:$F)</f>
        <v/>
      </c>
      <c r="I36" s="92">
        <f>G36*H36/1000</f>
        <v/>
      </c>
    </row>
    <row r="37" hidden="1" ht="17" customHeight="1" s="85">
      <c r="B37" s="93" t="n"/>
      <c r="C37" s="93" t="n"/>
      <c r="D37" s="93" t="n"/>
      <c r="E37" s="93" t="n"/>
      <c r="F37" s="75" t="inlineStr">
        <is>
          <t>~5M</t>
        </is>
      </c>
      <c r="G37" s="90">
        <f>IF(E34&gt;5000000,4000000,E34-G34-G35-G36)</f>
        <v/>
      </c>
      <c r="H37" s="91">
        <f>SUMIF('GMP Price List'!$A:$A,B34,'GMP Price List'!$G:$G)</f>
        <v/>
      </c>
      <c r="I37" s="92">
        <f>G37*H37/1000</f>
        <v/>
      </c>
    </row>
    <row r="38" hidden="1" ht="17" customHeight="1" s="85">
      <c r="B38" s="94" t="n"/>
      <c r="C38" s="94" t="n"/>
      <c r="D38" s="94" t="n"/>
      <c r="E38" s="94" t="n"/>
      <c r="F38" s="75" t="inlineStr">
        <is>
          <t>~10M</t>
        </is>
      </c>
      <c r="G38" s="90">
        <f>IF(E34-G34-G35-G36-G37&gt;0,E34-G34-G35-G36-G37,0)</f>
        <v/>
      </c>
      <c r="H38" s="91">
        <f>SUMIF('GMP Price List'!$A:$A,B34,'GMP Price List'!$H:$H)</f>
        <v/>
      </c>
      <c r="I38" s="92">
        <f>G38*H38/1000</f>
        <v/>
      </c>
    </row>
    <row r="39" hidden="1" ht="17" customHeight="1" s="85">
      <c r="B39" s="67" t="inlineStr">
        <is>
          <t>소계</t>
        </is>
      </c>
      <c r="C39" s="95" t="n"/>
      <c r="D39" s="95" t="n"/>
      <c r="E39" s="95" t="n"/>
      <c r="F39" s="43" t="n"/>
      <c r="G39" s="96">
        <f>SUM(G34:G38)</f>
        <v/>
      </c>
      <c r="H39" s="43" t="n"/>
      <c r="I39" s="97">
        <f>ROUND(SUM(I34:I38),2)</f>
        <v/>
      </c>
      <c r="J39" s="98" t="n"/>
    </row>
    <row r="40" hidden="1" ht="17" customHeight="1" s="85">
      <c r="B40" s="87" t="inlineStr">
        <is>
          <t>Query Autocomplete - Per Request</t>
        </is>
      </c>
      <c r="C40" s="88" t="n">
        <v>0</v>
      </c>
      <c r="D40" s="89">
        <f>SUMIF('GMP Price List'!$A:$A,B40,'GMP Price List'!$C:$C)</f>
        <v/>
      </c>
      <c r="E40" s="75">
        <f>IF(C40-D40&gt;0,C40-D40,0)</f>
        <v/>
      </c>
      <c r="F40" s="75" t="inlineStr">
        <is>
          <t>0-100K</t>
        </is>
      </c>
      <c r="G40" s="90">
        <f>IF(E40&gt;100000,100000,E40)</f>
        <v/>
      </c>
      <c r="H40" s="91">
        <f>SUMIF('GMP Price List'!$A:$A,B40,'GMP Price List'!$D:$D)</f>
        <v/>
      </c>
      <c r="I40" s="92">
        <f>G40*H40/1000</f>
        <v/>
      </c>
    </row>
    <row r="41" hidden="1" ht="17" customHeight="1" s="85">
      <c r="B41" s="93" t="n"/>
      <c r="C41" s="93" t="n"/>
      <c r="D41" s="93" t="n"/>
      <c r="E41" s="93" t="n"/>
      <c r="F41" s="75" t="inlineStr">
        <is>
          <t>~500K</t>
        </is>
      </c>
      <c r="G41" s="90">
        <f>IF(E40&gt;500000,400000,E40-G40)</f>
        <v/>
      </c>
      <c r="H41" s="91">
        <f>SUMIF('GMP Price List'!$A:$A,B40,'GMP Price List'!$E:$E)</f>
        <v/>
      </c>
      <c r="I41" s="92">
        <f>G41*H41/1000</f>
        <v/>
      </c>
    </row>
    <row r="42" hidden="1" ht="17" customHeight="1" s="85">
      <c r="B42" s="93" t="n"/>
      <c r="C42" s="93" t="n"/>
      <c r="D42" s="93" t="n"/>
      <c r="E42" s="93" t="n"/>
      <c r="F42" s="75" t="inlineStr">
        <is>
          <t>~1M</t>
        </is>
      </c>
      <c r="G42" s="90">
        <f>IF(E40&gt;1000000,500000,E40-G40-G41)</f>
        <v/>
      </c>
      <c r="H42" s="91">
        <f>SUMIF('GMP Price List'!$A:$A,B40,'GMP Price List'!$F:$F)</f>
        <v/>
      </c>
      <c r="I42" s="92">
        <f>G42*H42/1000</f>
        <v/>
      </c>
    </row>
    <row r="43" hidden="1" ht="17" customHeight="1" s="85">
      <c r="B43" s="93" t="n"/>
      <c r="C43" s="93" t="n"/>
      <c r="D43" s="93" t="n"/>
      <c r="E43" s="93" t="n"/>
      <c r="F43" s="75" t="inlineStr">
        <is>
          <t>~5M</t>
        </is>
      </c>
      <c r="G43" s="90">
        <f>IF(E40&gt;5000000,4000000,E40-G40-G41-G42)</f>
        <v/>
      </c>
      <c r="H43" s="91">
        <f>SUMIF('GMP Price List'!$A:$A,B40,'GMP Price List'!$G:$G)</f>
        <v/>
      </c>
      <c r="I43" s="92">
        <f>G43*H43/1000</f>
        <v/>
      </c>
    </row>
    <row r="44" hidden="1" ht="17" customHeight="1" s="85">
      <c r="B44" s="94" t="n"/>
      <c r="C44" s="94" t="n"/>
      <c r="D44" s="94" t="n"/>
      <c r="E44" s="94" t="n"/>
      <c r="F44" s="75" t="inlineStr">
        <is>
          <t>~10M</t>
        </is>
      </c>
      <c r="G44" s="90">
        <f>IF(E40-G40-G41-G42-G43&gt;0,E40-G40-G41-G42-G43,0)</f>
        <v/>
      </c>
      <c r="H44" s="91">
        <f>SUMIF('GMP Price List'!$A:$A,B40,'GMP Price List'!$H:$H)</f>
        <v/>
      </c>
      <c r="I44" s="92">
        <f>G44*H44/1000</f>
        <v/>
      </c>
    </row>
    <row r="45" hidden="1" ht="17" customHeight="1" s="85">
      <c r="B45" s="67" t="inlineStr">
        <is>
          <t>소계</t>
        </is>
      </c>
      <c r="C45" s="95" t="n"/>
      <c r="D45" s="95" t="n"/>
      <c r="E45" s="95" t="n"/>
      <c r="F45" s="43" t="n"/>
      <c r="G45" s="96">
        <f>SUM(G40:G44)</f>
        <v/>
      </c>
      <c r="H45" s="43" t="n"/>
      <c r="I45" s="97">
        <f>ROUND(SUM(I40:I44),2)</f>
        <v/>
      </c>
      <c r="J45" s="98" t="n"/>
    </row>
    <row r="46" hidden="1" ht="17" customHeight="1" s="85">
      <c r="B46" s="87" t="inlineStr">
        <is>
          <t>Places Details</t>
        </is>
      </c>
      <c r="C46" s="88" t="n">
        <v>0</v>
      </c>
      <c r="D46" s="89">
        <f>SUMIF('GMP Price List'!$A:$A,B46,'GMP Price List'!$C:$C)</f>
        <v/>
      </c>
      <c r="E46" s="75">
        <f>IF(C46-D46&gt;0,C46-D46,0)</f>
        <v/>
      </c>
      <c r="F46" s="75" t="inlineStr">
        <is>
          <t>0-100K</t>
        </is>
      </c>
      <c r="G46" s="90">
        <f>IF(E46&gt;100000,100000,E46)</f>
        <v/>
      </c>
      <c r="H46" s="91">
        <f>SUMIF('GMP Price List'!$A:$A,B46,'GMP Price List'!$D:$D)</f>
        <v/>
      </c>
      <c r="I46" s="92">
        <f>G46*H46/1000</f>
        <v/>
      </c>
    </row>
    <row r="47" hidden="1" ht="17" customHeight="1" s="85">
      <c r="B47" s="93" t="n"/>
      <c r="C47" s="93" t="n"/>
      <c r="D47" s="93" t="n"/>
      <c r="E47" s="93" t="n"/>
      <c r="F47" s="75" t="inlineStr">
        <is>
          <t>~500K</t>
        </is>
      </c>
      <c r="G47" s="90">
        <f>IF(E46&gt;500000,400000,E46-G46)</f>
        <v/>
      </c>
      <c r="H47" s="91">
        <f>SUMIF('GMP Price List'!$A:$A,B46,'GMP Price List'!$E:$E)</f>
        <v/>
      </c>
      <c r="I47" s="92">
        <f>G47*H47/1000</f>
        <v/>
      </c>
    </row>
    <row r="48" hidden="1" ht="17" customHeight="1" s="85">
      <c r="B48" s="93" t="n"/>
      <c r="C48" s="93" t="n"/>
      <c r="D48" s="93" t="n"/>
      <c r="E48" s="93" t="n"/>
      <c r="F48" s="75" t="inlineStr">
        <is>
          <t>~1M</t>
        </is>
      </c>
      <c r="G48" s="90">
        <f>IF(E46&gt;1000000,500000,E46-G46-G47)</f>
        <v/>
      </c>
      <c r="H48" s="91">
        <f>SUMIF('GMP Price List'!$A:$A,B46,'GMP Price List'!$F:$F)</f>
        <v/>
      </c>
      <c r="I48" s="92">
        <f>G48*H48/1000</f>
        <v/>
      </c>
    </row>
    <row r="49" hidden="1" ht="17" customHeight="1" s="85">
      <c r="B49" s="93" t="n"/>
      <c r="C49" s="93" t="n"/>
      <c r="D49" s="93" t="n"/>
      <c r="E49" s="93" t="n"/>
      <c r="F49" s="75" t="inlineStr">
        <is>
          <t>~5M</t>
        </is>
      </c>
      <c r="G49" s="90">
        <f>IF(E46&gt;5000000,4000000,E46-G46-G47-G48)</f>
        <v/>
      </c>
      <c r="H49" s="91">
        <f>SUMIF('GMP Price List'!$A:$A,B46,'GMP Price List'!$G:$G)</f>
        <v/>
      </c>
      <c r="I49" s="92">
        <f>G49*H49/1000</f>
        <v/>
      </c>
    </row>
    <row r="50" hidden="1" ht="17" customHeight="1" s="85">
      <c r="B50" s="94" t="n"/>
      <c r="C50" s="94" t="n"/>
      <c r="D50" s="94" t="n"/>
      <c r="E50" s="94" t="n"/>
      <c r="F50" s="75" t="inlineStr">
        <is>
          <t>~10M</t>
        </is>
      </c>
      <c r="G50" s="90">
        <f>IF(E46-G46-G47-G48-G49&gt;0,E46-G46-G47-G48-G49,0)</f>
        <v/>
      </c>
      <c r="H50" s="91">
        <f>SUMIF('GMP Price List'!$A:$A,B46,'GMP Price List'!$H:$H)</f>
        <v/>
      </c>
      <c r="I50" s="92">
        <f>G50*H50/1000</f>
        <v/>
      </c>
    </row>
    <row r="51" hidden="1" ht="17" customHeight="1" s="85">
      <c r="B51" s="67" t="inlineStr">
        <is>
          <t>소계</t>
        </is>
      </c>
      <c r="C51" s="95" t="n"/>
      <c r="D51" s="95" t="n"/>
      <c r="E51" s="95" t="n"/>
      <c r="F51" s="43" t="n"/>
      <c r="G51" s="96">
        <f>SUM(G46:G50)</f>
        <v/>
      </c>
      <c r="H51" s="43" t="n"/>
      <c r="I51" s="97">
        <f>ROUND(SUM(I46:I50),2)</f>
        <v/>
      </c>
      <c r="J51" s="98" t="n"/>
    </row>
    <row r="52" ht="17" customHeight="1" s="85">
      <c r="B52" s="87" t="inlineStr">
        <is>
          <t>Basic Data</t>
        </is>
      </c>
      <c r="C52" s="88" t="n">
        <v>61815</v>
      </c>
      <c r="D52" s="89">
        <f>SUMIF('GMP Price List'!$A:$A,B52,'GMP Price List'!$C:$C)</f>
        <v/>
      </c>
      <c r="E52" s="75">
        <f>IF(C52-D52&gt;0,C52-D52,0)</f>
        <v/>
      </c>
      <c r="F52" s="75" t="inlineStr">
        <is>
          <t>0-100K</t>
        </is>
      </c>
      <c r="G52" s="90">
        <f>IF(E52&gt;100000,100000,E52)</f>
        <v/>
      </c>
      <c r="H52" s="91">
        <f>SUMIF('GMP Price List'!$A:$A,B52,'GMP Price List'!$D:$D)</f>
        <v/>
      </c>
      <c r="I52" s="92">
        <f>G52*H52/1000</f>
        <v/>
      </c>
    </row>
    <row r="53" ht="17" customHeight="1" s="85">
      <c r="B53" s="93" t="n"/>
      <c r="C53" s="93" t="n"/>
      <c r="D53" s="93" t="n"/>
      <c r="E53" s="93" t="n"/>
      <c r="F53" s="75" t="inlineStr">
        <is>
          <t>~500K</t>
        </is>
      </c>
      <c r="G53" s="90">
        <f>IF(E52&gt;500000,400000,E52-G52)</f>
        <v/>
      </c>
      <c r="H53" s="91">
        <f>SUMIF('GMP Price List'!$A:$A,B52,'GMP Price List'!$E:$E)</f>
        <v/>
      </c>
      <c r="I53" s="92">
        <f>G53*H53/1000</f>
        <v/>
      </c>
    </row>
    <row r="54" ht="17" customHeight="1" s="85">
      <c r="B54" s="93" t="n"/>
      <c r="C54" s="93" t="n"/>
      <c r="D54" s="93" t="n"/>
      <c r="E54" s="93" t="n"/>
      <c r="F54" s="75" t="inlineStr">
        <is>
          <t>~1M</t>
        </is>
      </c>
      <c r="G54" s="90">
        <f>IF(E52&gt;1000000,500000,E52-G52-G53)</f>
        <v/>
      </c>
      <c r="H54" s="91">
        <f>SUMIF('GMP Price List'!$A:$A,B52,'GMP Price List'!$F:$F)</f>
        <v/>
      </c>
      <c r="I54" s="92">
        <f>G54*H54/1000</f>
        <v/>
      </c>
    </row>
    <row r="55" ht="17" customHeight="1" s="85">
      <c r="B55" s="93" t="n"/>
      <c r="C55" s="93" t="n"/>
      <c r="D55" s="93" t="n"/>
      <c r="E55" s="93" t="n"/>
      <c r="F55" s="75" t="inlineStr">
        <is>
          <t>~5M</t>
        </is>
      </c>
      <c r="G55" s="90">
        <f>IF(E52&gt;5000000,4000000,E52-G52-G53-G54)</f>
        <v/>
      </c>
      <c r="H55" s="91">
        <f>SUMIF('GMP Price List'!$A:$A,B52,'GMP Price List'!$G:$G)</f>
        <v/>
      </c>
      <c r="I55" s="92">
        <f>G55*H55/1000</f>
        <v/>
      </c>
    </row>
    <row r="56" ht="17" customHeight="1" s="85">
      <c r="B56" s="94" t="n"/>
      <c r="C56" s="94" t="n"/>
      <c r="D56" s="94" t="n"/>
      <c r="E56" s="94" t="n"/>
      <c r="F56" s="75" t="inlineStr">
        <is>
          <t>~10M</t>
        </is>
      </c>
      <c r="G56" s="90">
        <f>IF(E52-G52-G53-G54-G55&gt;0,E52-G52-G53-G54-G55,0)</f>
        <v/>
      </c>
      <c r="H56" s="91">
        <f>SUMIF('GMP Price List'!$A:$A,B52,'GMP Price List'!$H:$H)</f>
        <v/>
      </c>
      <c r="I56" s="92">
        <f>G56*H56/1000</f>
        <v/>
      </c>
    </row>
    <row r="57" ht="17" customHeight="1" s="85">
      <c r="B57" s="67" t="inlineStr">
        <is>
          <t>소계</t>
        </is>
      </c>
      <c r="C57" s="95" t="n"/>
      <c r="D57" s="95" t="n"/>
      <c r="E57" s="95" t="n"/>
      <c r="F57" s="43" t="n"/>
      <c r="G57" s="96">
        <f>SUM(G52:G56)</f>
        <v/>
      </c>
      <c r="H57" s="43" t="n"/>
      <c r="I57" s="97">
        <f>ROUND(SUM(I52:I56),2)</f>
        <v/>
      </c>
      <c r="J57" s="98" t="n"/>
    </row>
    <row r="58" hidden="1" ht="17" customHeight="1" s="85">
      <c r="B58" s="87" t="inlineStr">
        <is>
          <t>Contact Data</t>
        </is>
      </c>
      <c r="C58" s="88" t="n">
        <v>0</v>
      </c>
      <c r="D58" s="89">
        <f>SUMIF('GMP Price List'!$A:$A,B58,'GMP Price List'!$C:$C)</f>
        <v/>
      </c>
      <c r="E58" s="75">
        <f>IF(C58-D58&gt;0,C58-D58,0)</f>
        <v/>
      </c>
      <c r="F58" s="75" t="inlineStr">
        <is>
          <t>0-100K</t>
        </is>
      </c>
      <c r="G58" s="90">
        <f>IF(E58&gt;100000,100000,E58)</f>
        <v/>
      </c>
      <c r="H58" s="91">
        <f>SUMIF('GMP Price List'!$A:$A,B58,'GMP Price List'!$D:$D)</f>
        <v/>
      </c>
      <c r="I58" s="92">
        <f>G58*H58/1000</f>
        <v/>
      </c>
    </row>
    <row r="59" hidden="1" ht="17" customHeight="1" s="85">
      <c r="B59" s="93" t="n"/>
      <c r="C59" s="93" t="n"/>
      <c r="D59" s="93" t="n"/>
      <c r="E59" s="93" t="n"/>
      <c r="F59" s="75" t="inlineStr">
        <is>
          <t>~500K</t>
        </is>
      </c>
      <c r="G59" s="90">
        <f>IF(E58&gt;500000,400000,E58-G58)</f>
        <v/>
      </c>
      <c r="H59" s="91">
        <f>SUMIF('GMP Price List'!$A:$A,B58,'GMP Price List'!$E:$E)</f>
        <v/>
      </c>
      <c r="I59" s="92">
        <f>G59*H59/1000</f>
        <v/>
      </c>
    </row>
    <row r="60" hidden="1" ht="17" customHeight="1" s="85">
      <c r="B60" s="93" t="n"/>
      <c r="C60" s="93" t="n"/>
      <c r="D60" s="93" t="n"/>
      <c r="E60" s="93" t="n"/>
      <c r="F60" s="75" t="inlineStr">
        <is>
          <t>~1M</t>
        </is>
      </c>
      <c r="G60" s="90">
        <f>IF(E58&gt;1000000,500000,E58-G58-G59)</f>
        <v/>
      </c>
      <c r="H60" s="91">
        <f>SUMIF('GMP Price List'!$A:$A,B58,'GMP Price List'!$F:$F)</f>
        <v/>
      </c>
      <c r="I60" s="92">
        <f>G60*H60/1000</f>
        <v/>
      </c>
    </row>
    <row r="61" hidden="1" ht="17" customHeight="1" s="85">
      <c r="B61" s="93" t="n"/>
      <c r="C61" s="93" t="n"/>
      <c r="D61" s="93" t="n"/>
      <c r="E61" s="93" t="n"/>
      <c r="F61" s="75" t="inlineStr">
        <is>
          <t>~5M</t>
        </is>
      </c>
      <c r="G61" s="90">
        <f>IF(E58&gt;5000000,4000000,E58-G58-G59-G60)</f>
        <v/>
      </c>
      <c r="H61" s="91">
        <f>SUMIF('GMP Price List'!$A:$A,B58,'GMP Price List'!$G:$G)</f>
        <v/>
      </c>
      <c r="I61" s="92">
        <f>G61*H61/1000</f>
        <v/>
      </c>
    </row>
    <row r="62" hidden="1" ht="17" customHeight="1" s="85">
      <c r="B62" s="94" t="n"/>
      <c r="C62" s="94" t="n"/>
      <c r="D62" s="94" t="n"/>
      <c r="E62" s="94" t="n"/>
      <c r="F62" s="75" t="inlineStr">
        <is>
          <t>~10M</t>
        </is>
      </c>
      <c r="G62" s="90">
        <f>IF(E58-G58-G59-G60-G61&gt;0,E58-G58-G59-G60-G61,0)</f>
        <v/>
      </c>
      <c r="H62" s="91">
        <f>SUMIF('GMP Price List'!$A:$A,B58,'GMP Price List'!$H:$H)</f>
        <v/>
      </c>
      <c r="I62" s="92">
        <f>G62*H62/1000</f>
        <v/>
      </c>
    </row>
    <row r="63" hidden="1" ht="17" customHeight="1" s="85">
      <c r="B63" s="67" t="inlineStr">
        <is>
          <t>소계</t>
        </is>
      </c>
      <c r="C63" s="95" t="n"/>
      <c r="D63" s="95" t="n"/>
      <c r="E63" s="95" t="n"/>
      <c r="F63" s="43" t="n"/>
      <c r="G63" s="96">
        <f>SUM(G58:G62)</f>
        <v/>
      </c>
      <c r="H63" s="43" t="n"/>
      <c r="I63" s="97">
        <f>ROUND(SUM(I58:I62),2)</f>
        <v/>
      </c>
      <c r="J63" s="98" t="n"/>
    </row>
    <row r="64" hidden="1" ht="17" customHeight="1" s="85">
      <c r="B64" s="87" t="inlineStr">
        <is>
          <t>Atmosphere Data</t>
        </is>
      </c>
      <c r="C64" s="88" t="n">
        <v>0</v>
      </c>
      <c r="D64" s="89">
        <f>SUMIF('GMP Price List'!$A:$A,B64,'GMP Price List'!$C:$C)</f>
        <v/>
      </c>
      <c r="E64" s="75">
        <f>IF(C64-D64&gt;0,C64-D64,0)</f>
        <v/>
      </c>
      <c r="F64" s="75" t="inlineStr">
        <is>
          <t>0-100K</t>
        </is>
      </c>
      <c r="G64" s="90">
        <f>IF(E64&gt;100000,100000,E64)</f>
        <v/>
      </c>
      <c r="H64" s="91">
        <f>SUMIF('GMP Price List'!$A:$A,B64,'GMP Price List'!$D:$D)</f>
        <v/>
      </c>
      <c r="I64" s="92">
        <f>G64*H64/1000</f>
        <v/>
      </c>
    </row>
    <row r="65" hidden="1" ht="17" customHeight="1" s="85">
      <c r="B65" s="93" t="n"/>
      <c r="C65" s="93" t="n"/>
      <c r="D65" s="93" t="n"/>
      <c r="E65" s="93" t="n"/>
      <c r="F65" s="75" t="inlineStr">
        <is>
          <t>~500K</t>
        </is>
      </c>
      <c r="G65" s="90">
        <f>IF(E64&gt;500000,400000,E64-G64)</f>
        <v/>
      </c>
      <c r="H65" s="91">
        <f>SUMIF('GMP Price List'!$A:$A,B64,'GMP Price List'!$E:$E)</f>
        <v/>
      </c>
      <c r="I65" s="92">
        <f>G65*H65/1000</f>
        <v/>
      </c>
    </row>
    <row r="66" hidden="1" ht="17" customHeight="1" s="85">
      <c r="B66" s="93" t="n"/>
      <c r="C66" s="93" t="n"/>
      <c r="D66" s="93" t="n"/>
      <c r="E66" s="93" t="n"/>
      <c r="F66" s="75" t="inlineStr">
        <is>
          <t>~1M</t>
        </is>
      </c>
      <c r="G66" s="90">
        <f>IF(E64&gt;1000000,500000,E64-G64-G65)</f>
        <v/>
      </c>
      <c r="H66" s="91">
        <f>SUMIF('GMP Price List'!$A:$A,B64,'GMP Price List'!$F:$F)</f>
        <v/>
      </c>
      <c r="I66" s="92">
        <f>G66*H66/1000</f>
        <v/>
      </c>
    </row>
    <row r="67" hidden="1" ht="17" customHeight="1" s="85">
      <c r="B67" s="93" t="n"/>
      <c r="C67" s="93" t="n"/>
      <c r="D67" s="93" t="n"/>
      <c r="E67" s="93" t="n"/>
      <c r="F67" s="75" t="inlineStr">
        <is>
          <t>~5M</t>
        </is>
      </c>
      <c r="G67" s="90">
        <f>IF(E64&gt;5000000,4000000,E64-G64-G65-G66)</f>
        <v/>
      </c>
      <c r="H67" s="91">
        <f>SUMIF('GMP Price List'!$A:$A,B64,'GMP Price List'!$G:$G)</f>
        <v/>
      </c>
      <c r="I67" s="92">
        <f>G67*H67/1000</f>
        <v/>
      </c>
    </row>
    <row r="68" hidden="1" ht="17" customHeight="1" s="85">
      <c r="B68" s="94" t="n"/>
      <c r="C68" s="94" t="n"/>
      <c r="D68" s="94" t="n"/>
      <c r="E68" s="94" t="n"/>
      <c r="F68" s="75" t="inlineStr">
        <is>
          <t>~10M</t>
        </is>
      </c>
      <c r="G68" s="90">
        <f>IF(E64-G64-G65-G66-G67&gt;0,E64-G64-G65-G66-G67,0)</f>
        <v/>
      </c>
      <c r="H68" s="91">
        <f>SUMIF('GMP Price List'!$A:$A,B64,'GMP Price List'!$H:$H)</f>
        <v/>
      </c>
      <c r="I68" s="92">
        <f>G68*H68/1000</f>
        <v/>
      </c>
    </row>
    <row r="69" hidden="1" ht="17" customHeight="1" s="85">
      <c r="B69" s="67" t="inlineStr">
        <is>
          <t>소계</t>
        </is>
      </c>
      <c r="C69" s="95" t="n"/>
      <c r="D69" s="95" t="n"/>
      <c r="E69" s="95" t="n"/>
      <c r="F69" s="43" t="n"/>
      <c r="G69" s="96">
        <f>SUM(G64:G68)</f>
        <v/>
      </c>
      <c r="H69" s="43" t="n"/>
      <c r="I69" s="97">
        <f>ROUND(SUM(I64:I68),2)</f>
        <v/>
      </c>
      <c r="J69" s="98" t="n"/>
    </row>
    <row r="70" hidden="1" ht="17" customHeight="1" s="85">
      <c r="B70" s="87" t="inlineStr">
        <is>
          <t>Places - Text Search</t>
        </is>
      </c>
      <c r="C70" s="88" t="n">
        <v>0</v>
      </c>
      <c r="D70" s="89">
        <f>SUMIF('GMP Price List'!$A:$A,B70,'GMP Price List'!$C:$C)</f>
        <v/>
      </c>
      <c r="E70" s="75">
        <f>IF(C70-D70&gt;0,C70-D70,0)</f>
        <v/>
      </c>
      <c r="F70" s="75" t="inlineStr">
        <is>
          <t>0-100K</t>
        </is>
      </c>
      <c r="G70" s="90">
        <f>IF(E70&gt;100000,100000,E70)</f>
        <v/>
      </c>
      <c r="H70" s="91">
        <f>SUMIF('GMP Price List'!$A:$A,B70,'GMP Price List'!$D:$D)</f>
        <v/>
      </c>
      <c r="I70" s="92">
        <f>G70*H70/1000</f>
        <v/>
      </c>
    </row>
    <row r="71" hidden="1" ht="17" customHeight="1" s="85">
      <c r="B71" s="93" t="n"/>
      <c r="C71" s="93" t="n"/>
      <c r="D71" s="93" t="n"/>
      <c r="E71" s="93" t="n"/>
      <c r="F71" s="75" t="inlineStr">
        <is>
          <t>~500K</t>
        </is>
      </c>
      <c r="G71" s="90">
        <f>IF(E70&gt;500000,400000,E70-G70)</f>
        <v/>
      </c>
      <c r="H71" s="91">
        <f>SUMIF('GMP Price List'!$A:$A,B70,'GMP Price List'!$E:$E)</f>
        <v/>
      </c>
      <c r="I71" s="92">
        <f>G71*H71/1000</f>
        <v/>
      </c>
    </row>
    <row r="72" hidden="1" ht="17" customHeight="1" s="85">
      <c r="B72" s="93" t="n"/>
      <c r="C72" s="93" t="n"/>
      <c r="D72" s="93" t="n"/>
      <c r="E72" s="93" t="n"/>
      <c r="F72" s="75" t="inlineStr">
        <is>
          <t>~1M</t>
        </is>
      </c>
      <c r="G72" s="90">
        <f>IF(E70&gt;1000000,500000,E70-G70-G71)</f>
        <v/>
      </c>
      <c r="H72" s="91">
        <f>SUMIF('GMP Price List'!$A:$A,B70,'GMP Price List'!$F:$F)</f>
        <v/>
      </c>
      <c r="I72" s="92">
        <f>G72*H72/1000</f>
        <v/>
      </c>
    </row>
    <row r="73" hidden="1" ht="17" customHeight="1" s="85">
      <c r="B73" s="93" t="n"/>
      <c r="C73" s="93" t="n"/>
      <c r="D73" s="93" t="n"/>
      <c r="E73" s="93" t="n"/>
      <c r="F73" s="75" t="inlineStr">
        <is>
          <t>~5M</t>
        </is>
      </c>
      <c r="G73" s="90">
        <f>IF(E70&gt;5000000,4000000,E70-G70-G71-G72)</f>
        <v/>
      </c>
      <c r="H73" s="91">
        <f>SUMIF('GMP Price List'!$A:$A,B70,'GMP Price List'!$G:$G)</f>
        <v/>
      </c>
      <c r="I73" s="92">
        <f>G73*H73/1000</f>
        <v/>
      </c>
    </row>
    <row r="74" hidden="1" ht="17" customHeight="1" s="85">
      <c r="B74" s="94" t="n"/>
      <c r="C74" s="94" t="n"/>
      <c r="D74" s="94" t="n"/>
      <c r="E74" s="94" t="n"/>
      <c r="F74" s="75" t="inlineStr">
        <is>
          <t>~10M</t>
        </is>
      </c>
      <c r="G74" s="90">
        <f>IF(E70-G70-G71-G72-G73&gt;0,E70-G70-G71-G72-G73,0)</f>
        <v/>
      </c>
      <c r="H74" s="91">
        <f>SUMIF('GMP Price List'!$A:$A,B70,'GMP Price List'!$H:$H)</f>
        <v/>
      </c>
      <c r="I74" s="92">
        <f>G74*H74/1000</f>
        <v/>
      </c>
    </row>
    <row r="75" hidden="1" ht="17" customHeight="1" s="85">
      <c r="B75" s="67" t="inlineStr">
        <is>
          <t>소계</t>
        </is>
      </c>
      <c r="C75" s="95" t="n"/>
      <c r="D75" s="95" t="n"/>
      <c r="E75" s="95" t="n"/>
      <c r="F75" s="43" t="n"/>
      <c r="G75" s="96">
        <f>SUM(G70:G74)</f>
        <v/>
      </c>
      <c r="H75" s="43" t="n"/>
      <c r="I75" s="97">
        <f>ROUND(SUM(I70:I74),2)</f>
        <v/>
      </c>
      <c r="J75" s="98" t="n"/>
    </row>
    <row r="76" hidden="1" ht="17" customHeight="1" s="85">
      <c r="B76" s="87" t="inlineStr">
        <is>
          <t>Find Place</t>
        </is>
      </c>
      <c r="C76" s="88" t="n">
        <v>0</v>
      </c>
      <c r="D76" s="89">
        <f>SUMIF('GMP Price List'!$A:$A,B76,'GMP Price List'!$C:$C)</f>
        <v/>
      </c>
      <c r="E76" s="75">
        <f>IF(C76-D76&gt;0,C76-D76,0)</f>
        <v/>
      </c>
      <c r="F76" s="75" t="inlineStr">
        <is>
          <t>0-100K</t>
        </is>
      </c>
      <c r="G76" s="90">
        <f>IF(E76&gt;100000,100000,E76)</f>
        <v/>
      </c>
      <c r="H76" s="91">
        <f>SUMIF('GMP Price List'!$A:$A,B76,'GMP Price List'!$D:$D)</f>
        <v/>
      </c>
      <c r="I76" s="92">
        <f>G76*H76/1000</f>
        <v/>
      </c>
    </row>
    <row r="77" hidden="1" ht="17" customHeight="1" s="85">
      <c r="B77" s="93" t="n"/>
      <c r="C77" s="93" t="n"/>
      <c r="D77" s="93" t="n"/>
      <c r="E77" s="93" t="n"/>
      <c r="F77" s="75" t="inlineStr">
        <is>
          <t>~500K</t>
        </is>
      </c>
      <c r="G77" s="90">
        <f>IF(E76&gt;500000,400000,E76-G76)</f>
        <v/>
      </c>
      <c r="H77" s="91">
        <f>SUMIF('GMP Price List'!$A:$A,B76,'GMP Price List'!$E:$E)</f>
        <v/>
      </c>
      <c r="I77" s="92">
        <f>G77*H77/1000</f>
        <v/>
      </c>
    </row>
    <row r="78" hidden="1" ht="17" customHeight="1" s="85">
      <c r="B78" s="93" t="n"/>
      <c r="C78" s="93" t="n"/>
      <c r="D78" s="93" t="n"/>
      <c r="E78" s="93" t="n"/>
      <c r="F78" s="75" t="inlineStr">
        <is>
          <t>~1M</t>
        </is>
      </c>
      <c r="G78" s="90">
        <f>IF(E76&gt;1000000,500000,E76-G76-G77)</f>
        <v/>
      </c>
      <c r="H78" s="91">
        <f>SUMIF('GMP Price List'!$A:$A,B76,'GMP Price List'!$F:$F)</f>
        <v/>
      </c>
      <c r="I78" s="92">
        <f>G78*H78/1000</f>
        <v/>
      </c>
    </row>
    <row r="79" hidden="1" ht="17" customHeight="1" s="85">
      <c r="B79" s="93" t="n"/>
      <c r="C79" s="93" t="n"/>
      <c r="D79" s="93" t="n"/>
      <c r="E79" s="93" t="n"/>
      <c r="F79" s="75" t="inlineStr">
        <is>
          <t>~5M</t>
        </is>
      </c>
      <c r="G79" s="90">
        <f>IF(E76&gt;5000000,4000000,E76-G76-G77-G78)</f>
        <v/>
      </c>
      <c r="H79" s="91">
        <f>SUMIF('GMP Price List'!$A:$A,B76,'GMP Price List'!$G:$G)</f>
        <v/>
      </c>
      <c r="I79" s="92">
        <f>G79*H79/1000</f>
        <v/>
      </c>
    </row>
    <row r="80" hidden="1" ht="17" customHeight="1" s="85">
      <c r="B80" s="94" t="n"/>
      <c r="C80" s="94" t="n"/>
      <c r="D80" s="94" t="n"/>
      <c r="E80" s="94" t="n"/>
      <c r="F80" s="75" t="inlineStr">
        <is>
          <t>~10M</t>
        </is>
      </c>
      <c r="G80" s="90">
        <f>IF(E76-G76-G77-G78-G79&gt;0,E76-G76-G77-G78-G79,0)</f>
        <v/>
      </c>
      <c r="H80" s="91">
        <f>SUMIF('GMP Price List'!$A:$A,B76,'GMP Price List'!$H:$H)</f>
        <v/>
      </c>
      <c r="I80" s="92">
        <f>G80*H80/1000</f>
        <v/>
      </c>
    </row>
    <row r="81" hidden="1" ht="17" customHeight="1" s="85">
      <c r="B81" s="67" t="inlineStr">
        <is>
          <t>소계</t>
        </is>
      </c>
      <c r="C81" s="95" t="n"/>
      <c r="D81" s="95" t="n"/>
      <c r="E81" s="95" t="n"/>
      <c r="F81" s="43" t="n"/>
      <c r="G81" s="96">
        <f>SUM(G76:G80)</f>
        <v/>
      </c>
      <c r="H81" s="43" t="n"/>
      <c r="I81" s="97">
        <f>ROUND(SUM(I76:I80),2)</f>
        <v/>
      </c>
      <c r="J81" s="98" t="n"/>
    </row>
    <row r="82" hidden="1" ht="20" customHeight="1" s="85">
      <c r="B82" s="76" t="inlineStr">
        <is>
          <t>월최소사용비용(KRW)</t>
        </is>
      </c>
      <c r="C82" s="95" t="n"/>
      <c r="D82" s="95" t="n"/>
      <c r="E82" s="95" t="n"/>
      <c r="F82" s="95" t="n"/>
      <c r="G82" s="95" t="n"/>
      <c r="H82" s="86" t="n"/>
      <c r="I82" s="99" t="n">
        <v>500000</v>
      </c>
    </row>
    <row r="83" ht="20" customHeight="1" s="85">
      <c r="B83" s="76" t="inlineStr">
        <is>
          <t>합              계(USD)</t>
        </is>
      </c>
      <c r="C83" s="95" t="n"/>
      <c r="D83" s="95" t="n"/>
      <c r="E83" s="95" t="n"/>
      <c r="F83" s="95" t="n"/>
      <c r="G83" s="95" t="n"/>
      <c r="H83" s="86" t="n"/>
      <c r="I83" s="100">
        <f>ROUND(SUM(I81,I75,I69,I63,I57,I51,I45,I39,I33,I27,I15,I21),0)</f>
        <v/>
      </c>
    </row>
    <row r="84" ht="20" customHeight="1" s="85">
      <c r="B84" s="76" t="inlineStr">
        <is>
          <t>환              율(하나은행 2026.03.31 최종 송금환율 기준)</t>
        </is>
      </c>
      <c r="C84" s="95" t="n"/>
      <c r="D84" s="95" t="n"/>
      <c r="E84" s="95" t="n"/>
      <c r="F84" s="95" t="n"/>
      <c r="G84" s="95" t="n"/>
      <c r="H84" s="86" t="n"/>
      <c r="I84" s="101" t="n">
        <v>1525.3</v>
      </c>
    </row>
    <row r="85" ht="30" customHeight="1" s="85">
      <c r="B85" s="77" t="inlineStr">
        <is>
          <t>청  구  금  액(KRW)</t>
        </is>
      </c>
      <c r="C85" s="95" t="n"/>
      <c r="D85" s="95" t="n"/>
      <c r="E85" s="95" t="n"/>
      <c r="F85" s="95" t="n"/>
      <c r="G85" s="95" t="n"/>
      <c r="H85" s="86" t="n"/>
      <c r="I85" s="102">
        <f>ROUND(I83*I84,0)</f>
        <v/>
      </c>
    </row>
    <row r="86" ht="13.75" customHeight="1" s="85">
      <c r="I86" s="51" t="inlineStr">
        <is>
          <t>(부가세 별도)</t>
        </is>
      </c>
    </row>
    <row r="87" ht="15.65" customHeight="1" s="85">
      <c r="B87" s="1" t="n"/>
      <c r="D87" s="38" t="n"/>
      <c r="H87" s="66" t="inlineStr">
        <is>
          <t>SPH Inc. (www.sphinfo.co.kr)
COO Kyungsoo Yoo
Tel : 010-3266-6272, Email : ksyoo@sphinfo.co.kr
서울시 마포구 마포대로 92, 효성해링턴스퀘어 A동 3층</t>
        </is>
      </c>
    </row>
    <row r="88" ht="15.65" customHeight="1" s="85">
      <c r="C88" s="38" t="n"/>
      <c r="D88" s="38" t="n"/>
    </row>
    <row r="89">
      <c r="B89" s="38" t="n"/>
      <c r="C89" s="38" t="n"/>
      <c r="D89" s="38" t="n"/>
    </row>
    <row r="90">
      <c r="B90" s="38" t="n"/>
      <c r="C90" s="38" t="n"/>
      <c r="D90" s="38" t="n"/>
    </row>
    <row r="91">
      <c r="B91" s="38" t="n"/>
      <c r="C91" s="38" t="n"/>
      <c r="D91" s="38" t="n"/>
    </row>
  </sheetData>
  <mergeCells count="66">
    <mergeCell ref="C40:C44"/>
    <mergeCell ref="B10:B14"/>
    <mergeCell ref="B84:H84"/>
    <mergeCell ref="E40:E44"/>
    <mergeCell ref="E34:E38"/>
    <mergeCell ref="C76:C80"/>
    <mergeCell ref="C52:C56"/>
    <mergeCell ref="B83:H83"/>
    <mergeCell ref="D16:D20"/>
    <mergeCell ref="B34:B38"/>
    <mergeCell ref="C46:C50"/>
    <mergeCell ref="B15:E15"/>
    <mergeCell ref="B28:B32"/>
    <mergeCell ref="B33:E33"/>
    <mergeCell ref="E46:E50"/>
    <mergeCell ref="D28:D32"/>
    <mergeCell ref="B51:E51"/>
    <mergeCell ref="B64:B68"/>
    <mergeCell ref="E70:E74"/>
    <mergeCell ref="B85:H85"/>
    <mergeCell ref="B40:B44"/>
    <mergeCell ref="B45:E45"/>
    <mergeCell ref="D58:D62"/>
    <mergeCell ref="B63:E63"/>
    <mergeCell ref="C70:C74"/>
    <mergeCell ref="B75:E75"/>
    <mergeCell ref="E76:E80"/>
    <mergeCell ref="D64:D68"/>
    <mergeCell ref="E16:E20"/>
    <mergeCell ref="C28:C32"/>
    <mergeCell ref="B76:B80"/>
    <mergeCell ref="E22:E26"/>
    <mergeCell ref="B81:E81"/>
    <mergeCell ref="B16:B20"/>
    <mergeCell ref="D10:D14"/>
    <mergeCell ref="C58:C62"/>
    <mergeCell ref="B27:E27"/>
    <mergeCell ref="C34:C38"/>
    <mergeCell ref="E58:E62"/>
    <mergeCell ref="D22:D26"/>
    <mergeCell ref="E52:E56"/>
    <mergeCell ref="B21:E21"/>
    <mergeCell ref="D34:D38"/>
    <mergeCell ref="E64:E68"/>
    <mergeCell ref="B39:E39"/>
    <mergeCell ref="B22:B26"/>
    <mergeCell ref="D46:D50"/>
    <mergeCell ref="B46:B50"/>
    <mergeCell ref="F9:G9"/>
    <mergeCell ref="D40:D44"/>
    <mergeCell ref="E10:E14"/>
    <mergeCell ref="B58:B62"/>
    <mergeCell ref="B57:E57"/>
    <mergeCell ref="B52:B56"/>
    <mergeCell ref="C64:C68"/>
    <mergeCell ref="D52:D56"/>
    <mergeCell ref="B82:H82"/>
    <mergeCell ref="B69:E69"/>
    <mergeCell ref="C10:C14"/>
    <mergeCell ref="C16:C20"/>
    <mergeCell ref="E28:E32"/>
    <mergeCell ref="D76:D80"/>
    <mergeCell ref="B70:B74"/>
    <mergeCell ref="C22:C26"/>
    <mergeCell ref="D70:D74"/>
    <mergeCell ref="H87:J90"/>
  </mergeCells>
  <printOptions horizontalCentered="1"/>
  <pageMargins left="0.3937007874015748" right="0.3937007874015748" top="1.181102362204725" bottom="0.5905511811023623" header="0" footer="0"/>
  <pageSetup orientation="portrait" paperSize="9" scale="58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19"/>
  <sheetViews>
    <sheetView showGridLines="0" tabSelected="1" zoomScaleNormal="100" workbookViewId="0">
      <selection activeCell="C18" sqref="C18"/>
    </sheetView>
  </sheetViews>
  <sheetFormatPr baseColWidth="8" defaultColWidth="8.6640625" defaultRowHeight="16"/>
  <cols>
    <col width="8.58203125" customWidth="1" style="45" min="1" max="1"/>
    <col width="26.9140625" customWidth="1" style="45" min="2" max="2"/>
    <col width="14.6640625" customWidth="1" style="45" min="3" max="8"/>
    <col width="14.58203125" customWidth="1" style="45" min="9" max="9"/>
    <col width="14.6640625" customWidth="1" style="45" min="10" max="32"/>
    <col width="14.58203125" customWidth="1" style="45" min="33" max="35"/>
    <col width="14.6640625" customWidth="1" style="45" min="36" max="38"/>
    <col width="8.6640625" customWidth="1" style="45" min="39" max="16384"/>
  </cols>
  <sheetData>
    <row r="1" ht="25" customHeight="1" s="85">
      <c r="D1" s="46" t="n"/>
      <c r="E1" s="46" t="n"/>
      <c r="F1" s="46" t="n"/>
    </row>
    <row r="2" ht="25" customHeight="1" s="85">
      <c r="D2" s="46" t="n"/>
      <c r="E2" s="46" t="n"/>
      <c r="F2" s="46" t="n"/>
    </row>
    <row r="3" ht="24.65" customHeight="1" s="85">
      <c r="D3" s="46" t="n"/>
      <c r="E3" s="46" t="n"/>
      <c r="F3" s="46" t="n"/>
    </row>
    <row r="4" ht="6" customHeight="1" s="85">
      <c r="D4" s="46" t="n"/>
      <c r="E4" s="46" t="n"/>
      <c r="F4" s="46" t="n"/>
    </row>
    <row r="5" ht="20" customHeight="1" s="85">
      <c r="B5" s="48" t="inlineStr">
        <is>
          <t xml:space="preserve"> Invoice Date </t>
        </is>
      </c>
      <c r="C5" s="49">
        <f>Invoice!C5</f>
        <v/>
      </c>
      <c r="D5" s="49" t="n"/>
      <c r="E5" s="49" t="n"/>
    </row>
    <row r="6" ht="20" customHeight="1" s="85">
      <c r="B6" s="48" t="inlineStr">
        <is>
          <t xml:space="preserve"> Billing Account Name  </t>
        </is>
      </c>
      <c r="C6" s="47" t="inlineStr">
        <is>
          <t>lotte-card</t>
        </is>
      </c>
      <c r="D6" s="47" t="n"/>
      <c r="E6" s="47" t="n"/>
    </row>
    <row r="7" ht="20" customHeight="1" s="85">
      <c r="B7" s="48" t="inlineStr">
        <is>
          <t xml:space="preserve"> Term of Use            </t>
        </is>
      </c>
      <c r="C7" s="47" t="inlineStr">
        <is>
          <t>2026-02-28 ~ 2026-03-31</t>
        </is>
      </c>
      <c r="D7" s="47" t="n"/>
      <c r="E7" s="47" t="n"/>
    </row>
    <row r="8" ht="20" customHeight="1" s="85">
      <c r="B8" s="58" t="inlineStr">
        <is>
          <t xml:space="preserve"> 환율</t>
        </is>
      </c>
      <c r="C8" s="103">
        <f>Invoice!I84</f>
        <v/>
      </c>
      <c r="D8" s="47" t="inlineStr">
        <is>
          <t>(하나은행 2026.03.31 최종 송금환율 기준)</t>
        </is>
      </c>
      <c r="E8" s="47" t="n"/>
    </row>
    <row r="9" customFormat="1" s="60">
      <c r="C9" s="61" t="n"/>
      <c r="D9" s="61" t="n"/>
      <c r="E9" s="104">
        <f>SUM(#REF!,#REF!,#REF!,#REF!,#REF!,#REF!)</f>
        <v/>
      </c>
      <c r="H9" s="104">
        <f>SUM(#REF!,#REF!,#REF!,#REF!,#REF!,#REF!)</f>
        <v/>
      </c>
      <c r="I9" s="105" t="n"/>
      <c r="K9" s="104">
        <f>SUM(#REF!,#REF!,#REF!,#REF!,#REF!,#REF!)</f>
        <v/>
      </c>
      <c r="N9" s="104">
        <f>SUM(#REF!,#REF!,#REF!,#REF!,#REF!,#REF!)</f>
        <v/>
      </c>
      <c r="Q9" s="104">
        <f>SUM(#REF!,#REF!,#REF!,#REF!,#REF!,#REF!)</f>
        <v/>
      </c>
      <c r="T9" s="104">
        <f>SUM(#REF!,#REF!,#REF!,#REF!,#REF!,#REF!)</f>
        <v/>
      </c>
      <c r="W9" s="104">
        <f>SUM(#REF!,#REF!,#REF!,#REF!,#REF!,#REF!)</f>
        <v/>
      </c>
      <c r="Z9" s="104">
        <f>SUM(#REF!,#REF!,#REF!,#REF!,#REF!,#REF!)</f>
        <v/>
      </c>
      <c r="AC9" s="104">
        <f>SUM(#REF!,#REF!,#REF!,#REF!,#REF!,#REF!)</f>
        <v/>
      </c>
      <c r="AF9" s="104">
        <f>SUM(#REF!,#REF!,#REF!,#REF!,#REF!,#REF!)</f>
        <v/>
      </c>
      <c r="AI9" s="104">
        <f>SUM(#REF!,#REF!,#REF!,#REF!,#REF!,#REF!)</f>
        <v/>
      </c>
    </row>
    <row r="10">
      <c r="B10" s="48" t="n"/>
      <c r="C10" s="66" t="n"/>
      <c r="H10" s="52" t="n"/>
      <c r="I10" s="106" t="n"/>
    </row>
    <row r="11">
      <c r="B11" t="inlineStr">
        <is>
          <t>lotte-card</t>
        </is>
      </c>
    </row>
    <row r="12" ht="13.75" customHeight="1" s="85">
      <c r="I12" s="51" t="n"/>
    </row>
    <row r="13" ht="15.65" customHeight="1" s="85">
      <c r="B13" s="1" t="n"/>
      <c r="D13" s="38" t="n"/>
    </row>
    <row r="14" ht="15.65" customHeight="1" s="85">
      <c r="C14" s="38" t="n"/>
      <c r="D14" s="38" t="n"/>
    </row>
    <row r="15">
      <c r="B15" s="38" t="n"/>
      <c r="C15" s="38" t="n"/>
      <c r="D15" s="38" t="n"/>
    </row>
    <row r="16">
      <c r="B16" s="38" t="n"/>
      <c r="C16" s="38" t="n"/>
      <c r="D16" s="38" t="n"/>
    </row>
    <row r="17">
      <c r="B17" s="38" t="n"/>
      <c r="C17" s="38" t="n"/>
      <c r="D17" s="38" t="n"/>
    </row>
    <row r="18"/>
    <row r="19"/>
  </sheetData>
  <mergeCells count="1">
    <mergeCell ref="C10:E12"/>
  </mergeCells>
  <printOptions horizontalCentered="1"/>
  <pageMargins left="0.3937007874015748" right="0.3937007874015748" top="1.181102362204725" bottom="0.5905511811023623" header="0" footer="0"/>
  <pageSetup orientation="portrait" paperSize="9" scale="16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3"/>
  <sheetViews>
    <sheetView topLeftCell="A46" zoomScale="30" zoomScaleNormal="30" workbookViewId="0">
      <selection activeCell="A60" sqref="A60"/>
    </sheetView>
  </sheetViews>
  <sheetFormatPr baseColWidth="8" defaultColWidth="11.4140625" defaultRowHeight="12.75" customHeight="1"/>
  <cols>
    <col width="167.1640625" customWidth="1" style="84" min="1" max="1"/>
    <col width="36.6640625" customWidth="1" style="84" min="2" max="9"/>
    <col width="11.4140625" customWidth="1" style="84" min="10" max="16384"/>
  </cols>
  <sheetData>
    <row r="1" ht="162" customHeight="1" s="85">
      <c r="A1" s="2" t="n"/>
      <c r="B1" s="2" t="n"/>
      <c r="C1" s="2" t="n"/>
      <c r="D1" s="2" t="n"/>
      <c r="E1" s="2" t="n"/>
      <c r="F1" s="2" t="n"/>
      <c r="G1" s="2" t="n"/>
      <c r="H1" s="2" t="n"/>
      <c r="I1" s="2" t="n"/>
    </row>
    <row r="2" ht="101.5" customHeight="1" s="85">
      <c r="A2" s="4" t="inlineStr">
        <is>
          <t>Maps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 ht="60" customHeight="1" s="85">
      <c r="A3" s="6" t="n"/>
      <c r="B3" s="6" t="n"/>
      <c r="C3" s="6" t="n"/>
      <c r="D3" s="7" t="inlineStr">
        <is>
          <t>COST PER THOUSAND (CPM)</t>
        </is>
      </c>
      <c r="E3" s="95" t="n"/>
      <c r="F3" s="95" t="n"/>
      <c r="G3" s="95" t="n"/>
      <c r="H3" s="95" t="n"/>
      <c r="I3" s="86" t="n"/>
    </row>
    <row r="4" ht="206" customHeight="1" s="85">
      <c r="A4" s="6" t="inlineStr">
        <is>
          <t>Monthly volume range</t>
        </is>
      </c>
      <c r="B4" s="7" t="inlineStr">
        <is>
          <t xml:space="preserve">Category </t>
        </is>
      </c>
      <c r="C4" s="6" t="inlineStr">
        <is>
          <t>Free Usage Cap¹</t>
        </is>
      </c>
      <c r="D4" s="6" t="inlineStr">
        <is>
          <t>Free usage cap  
to 
100,000</t>
        </is>
      </c>
      <c r="E4" s="6" t="inlineStr">
        <is>
          <t>100,001
to
500,000</t>
        </is>
      </c>
      <c r="F4" s="6" t="inlineStr">
        <is>
          <t>500,001
to
1,000,000</t>
        </is>
      </c>
      <c r="G4" s="6" t="inlineStr">
        <is>
          <t>1,000,001
to
5,000,000</t>
        </is>
      </c>
      <c r="H4" s="6" t="inlineStr">
        <is>
          <t xml:space="preserve">5,000,001
to
10,000,000 </t>
        </is>
      </c>
      <c r="I4" s="6" t="inlineStr">
        <is>
          <t>10,000,000 +</t>
        </is>
      </c>
    </row>
    <row r="5" ht="50" customHeight="1" s="85">
      <c r="A5" s="107" t="inlineStr">
        <is>
          <t>Embed</t>
        </is>
      </c>
      <c r="B5" s="9" t="inlineStr">
        <is>
          <t>Essentials</t>
        </is>
      </c>
      <c r="C5" s="9" t="inlineStr">
        <is>
          <t xml:space="preserve">Unlimited </t>
        </is>
      </c>
      <c r="D5" s="108" t="n">
        <v>0</v>
      </c>
      <c r="E5" s="108" t="n">
        <v>0</v>
      </c>
      <c r="F5" s="108" t="n">
        <v>0</v>
      </c>
      <c r="G5" s="108" t="n">
        <v>0</v>
      </c>
      <c r="H5" s="108" t="n">
        <v>0</v>
      </c>
      <c r="I5" s="108" t="inlineStr">
        <is>
          <t>별도문의</t>
        </is>
      </c>
    </row>
    <row r="6" ht="50" customHeight="1" s="85">
      <c r="A6" s="107" t="inlineStr">
        <is>
          <t>Maps SDK</t>
        </is>
      </c>
      <c r="B6" s="9" t="inlineStr">
        <is>
          <t>Essentials</t>
        </is>
      </c>
      <c r="C6" s="9" t="inlineStr">
        <is>
          <t xml:space="preserve">Unlimited </t>
        </is>
      </c>
      <c r="D6" s="108" t="n">
        <v>0</v>
      </c>
      <c r="E6" s="108" t="n">
        <v>0</v>
      </c>
      <c r="F6" s="108" t="n">
        <v>0</v>
      </c>
      <c r="G6" s="108" t="n">
        <v>0</v>
      </c>
      <c r="H6" s="108" t="n">
        <v>0</v>
      </c>
      <c r="I6" s="108" t="inlineStr">
        <is>
          <t>별도문의</t>
        </is>
      </c>
    </row>
    <row r="7" ht="50" customHeight="1" s="85">
      <c r="A7" s="107" t="inlineStr">
        <is>
          <t>Street View Metadata</t>
        </is>
      </c>
      <c r="B7" s="9" t="inlineStr">
        <is>
          <t>Essentials</t>
        </is>
      </c>
      <c r="C7" s="9" t="inlineStr">
        <is>
          <t xml:space="preserve">Unlimited </t>
        </is>
      </c>
      <c r="D7" s="108" t="n">
        <v>0</v>
      </c>
      <c r="E7" s="108" t="n">
        <v>0</v>
      </c>
      <c r="F7" s="109" t="n">
        <v>0</v>
      </c>
      <c r="G7" s="109" t="n">
        <v>0</v>
      </c>
      <c r="H7" s="109" t="n">
        <v>0</v>
      </c>
      <c r="I7" s="108" t="inlineStr">
        <is>
          <t>별도문의</t>
        </is>
      </c>
    </row>
    <row r="8" ht="50" customHeight="1" s="85">
      <c r="A8" s="107" t="inlineStr">
        <is>
          <t>Dynamic Maps</t>
        </is>
      </c>
      <c r="B8" s="9" t="inlineStr">
        <is>
          <t>Essentials</t>
        </is>
      </c>
      <c r="C8" s="9" t="n">
        <v>10000</v>
      </c>
      <c r="D8" s="108" t="n">
        <v>7</v>
      </c>
      <c r="E8" s="108" t="n">
        <v>5.6</v>
      </c>
      <c r="F8" s="109" t="n">
        <v>4.2</v>
      </c>
      <c r="G8" s="109" t="n">
        <v>2.1</v>
      </c>
      <c r="H8" s="109" t="n">
        <v>0.53</v>
      </c>
      <c r="I8" s="108" t="inlineStr">
        <is>
          <t>별도문의</t>
        </is>
      </c>
    </row>
    <row r="9" ht="50" customHeight="1" s="85">
      <c r="A9" s="107" t="inlineStr">
        <is>
          <t>Static Maps</t>
        </is>
      </c>
      <c r="B9" s="9" t="inlineStr">
        <is>
          <t>Essentials</t>
        </is>
      </c>
      <c r="C9" s="9" t="n">
        <v>10000</v>
      </c>
      <c r="D9" s="108" t="n">
        <v>2</v>
      </c>
      <c r="E9" s="108" t="n">
        <v>1.6</v>
      </c>
      <c r="F9" s="109" t="n">
        <v>1.2</v>
      </c>
      <c r="G9" s="109" t="n">
        <v>0.6</v>
      </c>
      <c r="H9" s="109" t="n">
        <v>0.15</v>
      </c>
      <c r="I9" s="108" t="inlineStr">
        <is>
          <t>별도문의</t>
        </is>
      </c>
    </row>
    <row r="10" ht="50" customHeight="1" s="85">
      <c r="A10" s="107" t="inlineStr">
        <is>
          <t>Static Street View</t>
        </is>
      </c>
      <c r="B10" s="9" t="inlineStr">
        <is>
          <t>Essentials</t>
        </is>
      </c>
      <c r="C10" s="9" t="n">
        <v>10000</v>
      </c>
      <c r="D10" s="108" t="n">
        <v>7</v>
      </c>
      <c r="E10" s="108" t="n">
        <v>5.6</v>
      </c>
      <c r="F10" s="109" t="n">
        <v>4.2</v>
      </c>
      <c r="G10" s="109" t="n">
        <v>2.1</v>
      </c>
      <c r="H10" s="109" t="n">
        <v>0.53</v>
      </c>
      <c r="I10" s="108" t="inlineStr">
        <is>
          <t>별도문의</t>
        </is>
      </c>
    </row>
    <row r="11" ht="50" customHeight="1" s="85">
      <c r="A11" s="107" t="inlineStr">
        <is>
          <t xml:space="preserve">Aerial View </t>
        </is>
      </c>
      <c r="B11" s="9" t="inlineStr">
        <is>
          <t xml:space="preserve">Pro </t>
        </is>
      </c>
      <c r="C11" s="9" t="n">
        <v>5000</v>
      </c>
      <c r="D11" s="108" t="n">
        <v>16</v>
      </c>
      <c r="E11" s="108" t="n">
        <v>12.8</v>
      </c>
      <c r="F11" s="109" t="n">
        <v>9.6</v>
      </c>
      <c r="G11" s="109" t="n">
        <v>4.8</v>
      </c>
      <c r="H11" s="109" t="n">
        <v>1.2</v>
      </c>
      <c r="I11" s="108" t="inlineStr">
        <is>
          <t>별도문의</t>
        </is>
      </c>
    </row>
    <row r="12" ht="50" customHeight="1" s="85">
      <c r="A12" s="107" t="inlineStr">
        <is>
          <t>Dynamic Street View</t>
        </is>
      </c>
      <c r="B12" s="9" t="inlineStr">
        <is>
          <t xml:space="preserve">Pro </t>
        </is>
      </c>
      <c r="C12" s="9" t="n">
        <v>5000</v>
      </c>
      <c r="D12" s="108" t="n">
        <v>14</v>
      </c>
      <c r="E12" s="108" t="n">
        <v>11.2</v>
      </c>
      <c r="F12" s="109" t="n">
        <v>8.4</v>
      </c>
      <c r="G12" s="109" t="n">
        <v>4.2</v>
      </c>
      <c r="H12" s="109" t="n">
        <v>1.05</v>
      </c>
      <c r="I12" s="108" t="inlineStr">
        <is>
          <t>별도문의</t>
        </is>
      </c>
    </row>
    <row r="13" ht="50" customHeight="1" s="85">
      <c r="A13" s="107" t="inlineStr">
        <is>
          <t>Elevation</t>
        </is>
      </c>
      <c r="B13" s="9" t="inlineStr">
        <is>
          <t xml:space="preserve">Pro </t>
        </is>
      </c>
      <c r="C13" s="9" t="n">
        <v>5000</v>
      </c>
      <c r="D13" s="108" t="n">
        <v>5</v>
      </c>
      <c r="E13" s="108" t="n">
        <v>4</v>
      </c>
      <c r="F13" s="108" t="n">
        <v>3</v>
      </c>
      <c r="G13" s="108" t="n">
        <v>1.5</v>
      </c>
      <c r="H13" s="108" t="n">
        <v>0.38</v>
      </c>
      <c r="I13" s="108" t="inlineStr">
        <is>
          <t>별도문의</t>
        </is>
      </c>
    </row>
    <row r="14" ht="60" customHeight="1" s="85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60" customHeight="1" s="8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101.5" customHeight="1" s="85">
      <c r="A16" s="13" t="inlineStr">
        <is>
          <t>Map Tiles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60" customHeight="1" s="85">
      <c r="A17" s="6" t="n"/>
      <c r="B17" s="6" t="n"/>
      <c r="C17" s="6" t="n"/>
      <c r="D17" s="7" t="inlineStr">
        <is>
          <t>COST PER THOUSAND (CPM)</t>
        </is>
      </c>
      <c r="E17" s="95" t="n"/>
      <c r="F17" s="95" t="n"/>
      <c r="G17" s="95" t="n"/>
      <c r="H17" s="95" t="n"/>
      <c r="I17" s="86" t="n"/>
    </row>
    <row r="18" ht="206" customHeight="1" s="85">
      <c r="A18" s="6" t="inlineStr">
        <is>
          <t>Monthly volume range</t>
        </is>
      </c>
      <c r="B18" s="7" t="inlineStr">
        <is>
          <t xml:space="preserve">Category </t>
        </is>
      </c>
      <c r="C18" s="6" t="inlineStr">
        <is>
          <t>Free Usage Cap¹</t>
        </is>
      </c>
      <c r="D18" s="6" t="inlineStr">
        <is>
          <t>Free usage cap
to
1,000,000</t>
        </is>
      </c>
      <c r="E18" s="6" t="inlineStr">
        <is>
          <t>1,000,001
to
5,000,000</t>
        </is>
      </c>
      <c r="F18" s="6" t="inlineStr">
        <is>
          <t>5,000,001
to
10,000,000</t>
        </is>
      </c>
      <c r="G18" s="6" t="inlineStr">
        <is>
          <t>10,000,001
to
50,000,000</t>
        </is>
      </c>
      <c r="H18" s="6" t="inlineStr">
        <is>
          <t xml:space="preserve">5,000,001
to
10,000,000 </t>
        </is>
      </c>
      <c r="I18" s="6" t="inlineStr">
        <is>
          <t>10,000,000 +</t>
        </is>
      </c>
    </row>
    <row r="19" ht="60" customFormat="1" customHeight="1" s="16">
      <c r="A19" s="107" t="inlineStr">
        <is>
          <t>Map Tiles API: 2D Map Tiles</t>
        </is>
      </c>
      <c r="B19" s="9" t="inlineStr">
        <is>
          <t>Essentials</t>
        </is>
      </c>
      <c r="C19" s="9" t="n">
        <v>100000</v>
      </c>
      <c r="D19" s="110" t="n">
        <v>0.6</v>
      </c>
      <c r="E19" s="110" t="n">
        <v>0.48</v>
      </c>
      <c r="F19" s="110" t="n">
        <v>0.36</v>
      </c>
      <c r="G19" s="110" t="n">
        <v>0.18</v>
      </c>
      <c r="H19" s="111" t="n">
        <v>0.045</v>
      </c>
      <c r="I19" s="108" t="inlineStr">
        <is>
          <t>별도문의</t>
        </is>
      </c>
    </row>
    <row r="20" ht="60" customFormat="1" customHeight="1" s="16">
      <c r="A20" s="107" t="inlineStr">
        <is>
          <t>Map Tiles API: Street View Tiles</t>
        </is>
      </c>
      <c r="B20" s="9" t="inlineStr">
        <is>
          <t>Essentials</t>
        </is>
      </c>
      <c r="C20" s="9" t="n">
        <v>100000</v>
      </c>
      <c r="D20" s="110" t="n">
        <v>2</v>
      </c>
      <c r="E20" s="110" t="n">
        <v>1.6</v>
      </c>
      <c r="F20" s="110" t="n">
        <v>1.2</v>
      </c>
      <c r="G20" s="110" t="n">
        <v>0.6</v>
      </c>
      <c r="H20" s="110" t="n">
        <v>0.2</v>
      </c>
      <c r="I20" s="108" t="inlineStr">
        <is>
          <t>별도문의</t>
        </is>
      </c>
    </row>
    <row r="21" ht="40" customHeight="1" s="85">
      <c r="A21" s="12" t="n"/>
      <c r="B21" s="12" t="n"/>
      <c r="C21" s="12" t="n"/>
      <c r="D21" s="12" t="n"/>
      <c r="E21" s="12" t="n"/>
      <c r="F21" s="12" t="n"/>
      <c r="G21" s="12" t="n"/>
      <c r="H21" s="17" t="n"/>
      <c r="I21" s="17" t="n"/>
    </row>
    <row r="22" ht="60" customFormat="1" customHeight="1" s="16">
      <c r="A22" s="6" t="n"/>
      <c r="B22" s="6" t="n"/>
      <c r="C22" s="6" t="n"/>
      <c r="D22" s="7" t="inlineStr">
        <is>
          <t>COST PER THOUSAND (CPM)</t>
        </is>
      </c>
      <c r="E22" s="95" t="n"/>
      <c r="F22" s="95" t="n"/>
      <c r="G22" s="95" t="n"/>
      <c r="H22" s="95" t="n"/>
      <c r="I22" s="86" t="n"/>
    </row>
    <row r="23" ht="206" customFormat="1" customHeight="1" s="16">
      <c r="A23" s="6" t="inlineStr">
        <is>
          <t>Monthly volume range</t>
        </is>
      </c>
      <c r="B23" s="7" t="inlineStr">
        <is>
          <t xml:space="preserve">Category </t>
        </is>
      </c>
      <c r="C23" s="6" t="inlineStr">
        <is>
          <t>Free Usage Cap¹</t>
        </is>
      </c>
      <c r="D23" s="6" t="inlineStr">
        <is>
          <t>Free usage cap  
to 
100,000</t>
        </is>
      </c>
      <c r="E23" s="6" t="inlineStr">
        <is>
          <t>100,001
to
500,000</t>
        </is>
      </c>
      <c r="F23" s="6" t="inlineStr">
        <is>
          <t>500,001
to
1,000,000</t>
        </is>
      </c>
      <c r="G23" s="6" t="inlineStr">
        <is>
          <t>1,000,001
to
5,000,000</t>
        </is>
      </c>
      <c r="H23" s="6" t="inlineStr">
        <is>
          <t xml:space="preserve">5,000,001
to
10,000,000 </t>
        </is>
      </c>
      <c r="I23" s="6" t="inlineStr">
        <is>
          <t>10,000,000 +</t>
        </is>
      </c>
    </row>
    <row r="24" ht="60" customFormat="1" customHeight="1" s="16">
      <c r="A24" s="107" t="inlineStr">
        <is>
          <t>Map Tiles API: Photorealistic 3D Tiles</t>
        </is>
      </c>
      <c r="B24" s="9" t="inlineStr">
        <is>
          <t>Enterprise</t>
        </is>
      </c>
      <c r="C24" s="9" t="n">
        <v>1000</v>
      </c>
      <c r="D24" s="110" t="n">
        <v>6</v>
      </c>
      <c r="E24" s="110" t="n">
        <v>5.1</v>
      </c>
      <c r="F24" s="110" t="n">
        <v>4.2</v>
      </c>
      <c r="G24" s="110" t="n">
        <v>3.3</v>
      </c>
      <c r="H24" s="110" t="n">
        <v>2.4</v>
      </c>
      <c r="I24" s="108" t="inlineStr">
        <is>
          <t>별도문의</t>
        </is>
      </c>
    </row>
    <row r="25" ht="60" customHeight="1" s="85">
      <c r="A25" s="12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 ht="60" customHeight="1" s="85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101.5" customFormat="1" customHeight="1" s="20">
      <c r="A27" s="13" t="inlineStr">
        <is>
          <t>Routes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60" customFormat="1" customHeight="1" s="16">
      <c r="A28" s="6" t="n"/>
      <c r="B28" s="6" t="n"/>
      <c r="C28" s="6" t="n"/>
      <c r="D28" s="7" t="inlineStr">
        <is>
          <t>COST PER THOUSAND (CPM)</t>
        </is>
      </c>
      <c r="E28" s="95" t="n"/>
      <c r="F28" s="95" t="n"/>
      <c r="G28" s="95" t="n"/>
      <c r="H28" s="95" t="n"/>
      <c r="I28" s="86" t="n"/>
    </row>
    <row r="29" ht="206" customFormat="1" customHeight="1" s="16">
      <c r="A29" s="6" t="inlineStr">
        <is>
          <t>Monthly volume range</t>
        </is>
      </c>
      <c r="B29" s="7" t="inlineStr">
        <is>
          <t xml:space="preserve">Category </t>
        </is>
      </c>
      <c r="C29" s="6" t="inlineStr">
        <is>
          <t>Free Usage Cap¹</t>
        </is>
      </c>
      <c r="D29" s="6" t="inlineStr">
        <is>
          <t>Free usage cap  
to 
100,000</t>
        </is>
      </c>
      <c r="E29" s="6" t="inlineStr">
        <is>
          <t>100,001
to
500,000</t>
        </is>
      </c>
      <c r="F29" s="6" t="inlineStr">
        <is>
          <t>500,001
to
1,000,000</t>
        </is>
      </c>
      <c r="G29" s="6" t="inlineStr">
        <is>
          <t>1,000,001
to
5,000,000</t>
        </is>
      </c>
      <c r="H29" s="6" t="inlineStr">
        <is>
          <t xml:space="preserve">5,000,001
to
10,000,000 </t>
        </is>
      </c>
      <c r="I29" s="6" t="inlineStr">
        <is>
          <t>10,000,000 +</t>
        </is>
      </c>
    </row>
    <row r="30" ht="60" customFormat="1" customHeight="1" s="16">
      <c r="A30" s="107" t="inlineStr">
        <is>
          <t xml:space="preserve">Routes: Compute Route Matrix Essentials </t>
        </is>
      </c>
      <c r="B30" s="9" t="inlineStr">
        <is>
          <t>Essentials</t>
        </is>
      </c>
      <c r="C30" s="9" t="n">
        <v>10000</v>
      </c>
      <c r="D30" s="112" t="n">
        <v>5</v>
      </c>
      <c r="E30" s="112" t="n">
        <v>4</v>
      </c>
      <c r="F30" s="109" t="n">
        <v>3</v>
      </c>
      <c r="G30" s="109" t="n">
        <v>1.5</v>
      </c>
      <c r="H30" s="109" t="n">
        <v>0.38</v>
      </c>
      <c r="I30" s="108" t="inlineStr">
        <is>
          <t>별도문의</t>
        </is>
      </c>
    </row>
    <row r="31" ht="60" customFormat="1" customHeight="1" s="16">
      <c r="A31" s="107" t="inlineStr">
        <is>
          <t xml:space="preserve">Routes: Compute Routes Essentials </t>
        </is>
      </c>
      <c r="B31" s="9" t="inlineStr">
        <is>
          <t>Essentials</t>
        </is>
      </c>
      <c r="C31" s="9" t="n">
        <v>10000</v>
      </c>
      <c r="D31" s="112" t="n">
        <v>5</v>
      </c>
      <c r="E31" s="112" t="n">
        <v>4</v>
      </c>
      <c r="F31" s="109" t="n">
        <v>3</v>
      </c>
      <c r="G31" s="109" t="n">
        <v>1.5</v>
      </c>
      <c r="H31" s="109" t="n">
        <v>0.38</v>
      </c>
      <c r="I31" s="108" t="inlineStr">
        <is>
          <t>별도문의</t>
        </is>
      </c>
    </row>
    <row r="32" ht="60" customFormat="1" customHeight="1" s="16">
      <c r="A32" s="107" t="inlineStr">
        <is>
          <t>Roads - Nearest Road</t>
        </is>
      </c>
      <c r="B32" s="9" t="inlineStr">
        <is>
          <t xml:space="preserve">Pro </t>
        </is>
      </c>
      <c r="C32" s="9" t="n">
        <v>5000</v>
      </c>
      <c r="D32" s="108" t="n">
        <v>10</v>
      </c>
      <c r="E32" s="108" t="n">
        <v>8</v>
      </c>
      <c r="F32" s="109" t="n">
        <v>6</v>
      </c>
      <c r="G32" s="109" t="n">
        <v>3</v>
      </c>
      <c r="H32" s="109" t="n">
        <v>0.76</v>
      </c>
      <c r="I32" s="108" t="inlineStr">
        <is>
          <t>별도문의</t>
        </is>
      </c>
    </row>
    <row r="33" ht="60" customFormat="1" customHeight="1" s="16">
      <c r="A33" s="107" t="inlineStr">
        <is>
          <t>Roads - Route Traveled</t>
        </is>
      </c>
      <c r="B33" s="9" t="inlineStr">
        <is>
          <t xml:space="preserve">Pro </t>
        </is>
      </c>
      <c r="C33" s="9" t="n">
        <v>5000</v>
      </c>
      <c r="D33" s="108" t="n">
        <v>10</v>
      </c>
      <c r="E33" s="108" t="n">
        <v>8</v>
      </c>
      <c r="F33" s="109" t="n">
        <v>6</v>
      </c>
      <c r="G33" s="109" t="n">
        <v>3</v>
      </c>
      <c r="H33" s="109" t="n">
        <v>0.76</v>
      </c>
      <c r="I33" s="108" t="inlineStr">
        <is>
          <t>별도문의</t>
        </is>
      </c>
    </row>
    <row r="34" ht="60" customFormat="1" customHeight="1" s="16">
      <c r="A34" s="107" t="inlineStr">
        <is>
          <t>Roads - Speed Limits²</t>
        </is>
      </c>
      <c r="B34" s="9" t="inlineStr">
        <is>
          <t xml:space="preserve">Pro </t>
        </is>
      </c>
      <c r="C34" s="9" t="n">
        <v>5000</v>
      </c>
      <c r="D34" s="108" t="n">
        <v>20</v>
      </c>
      <c r="E34" s="108" t="n">
        <v>16</v>
      </c>
      <c r="F34" s="109" t="n">
        <v>12</v>
      </c>
      <c r="G34" s="109" t="n">
        <v>12</v>
      </c>
      <c r="H34" s="109" t="n">
        <v>12</v>
      </c>
      <c r="I34" s="108" t="inlineStr">
        <is>
          <t>별도문의</t>
        </is>
      </c>
    </row>
    <row r="35" ht="60" customFormat="1" customHeight="1" s="16">
      <c r="A35" s="107" t="inlineStr">
        <is>
          <t>RouteOptimization - SingleVehicleRouting</t>
        </is>
      </c>
      <c r="B35" s="9" t="inlineStr">
        <is>
          <t xml:space="preserve">Pro </t>
        </is>
      </c>
      <c r="C35" s="9" t="n">
        <v>5000</v>
      </c>
      <c r="D35" s="113" t="n">
        <v>10</v>
      </c>
      <c r="E35" s="113" t="n">
        <v>4</v>
      </c>
      <c r="F35" s="113" t="n">
        <v>2</v>
      </c>
      <c r="G35" s="113" t="n">
        <v>0.8</v>
      </c>
      <c r="H35" s="113" t="n">
        <v>0.7</v>
      </c>
      <c r="I35" s="108" t="inlineStr">
        <is>
          <t>별도문의</t>
        </is>
      </c>
    </row>
    <row r="36" ht="60" customFormat="1" customHeight="1" s="16">
      <c r="A36" s="107" t="inlineStr">
        <is>
          <t xml:space="preserve">Routes: Compute Route Matrix Pro </t>
        </is>
      </c>
      <c r="B36" s="9" t="inlineStr">
        <is>
          <t xml:space="preserve">Pro </t>
        </is>
      </c>
      <c r="C36" s="9" t="n">
        <v>5000</v>
      </c>
      <c r="D36" s="112" t="n">
        <v>10</v>
      </c>
      <c r="E36" s="112" t="n">
        <v>8</v>
      </c>
      <c r="F36" s="109" t="n">
        <v>6</v>
      </c>
      <c r="G36" s="109" t="n">
        <v>3</v>
      </c>
      <c r="H36" s="109" t="n">
        <v>0.75</v>
      </c>
      <c r="I36" s="108" t="inlineStr">
        <is>
          <t>별도문의</t>
        </is>
      </c>
    </row>
    <row r="37" ht="60" customFormat="1" customHeight="1" s="16">
      <c r="A37" s="107" t="inlineStr">
        <is>
          <t>Routes: Compute Routes Pro</t>
        </is>
      </c>
      <c r="B37" s="9" t="inlineStr">
        <is>
          <t xml:space="preserve">Pro </t>
        </is>
      </c>
      <c r="C37" s="9" t="n">
        <v>5000</v>
      </c>
      <c r="D37" s="112" t="n">
        <v>10</v>
      </c>
      <c r="E37" s="112" t="n">
        <v>8</v>
      </c>
      <c r="F37" s="109" t="n">
        <v>6</v>
      </c>
      <c r="G37" s="109" t="n">
        <v>3</v>
      </c>
      <c r="H37" s="109" t="n">
        <v>0.75</v>
      </c>
      <c r="I37" s="108" t="inlineStr">
        <is>
          <t>별도문의</t>
        </is>
      </c>
    </row>
    <row r="38" ht="60" customFormat="1" customHeight="1" s="16">
      <c r="A38" s="107" t="inlineStr">
        <is>
          <t>RouteOptimization - FleetRouting</t>
        </is>
      </c>
      <c r="B38" s="9" t="inlineStr">
        <is>
          <t>Enterprise</t>
        </is>
      </c>
      <c r="C38" s="9" t="n">
        <v>1000</v>
      </c>
      <c r="D38" s="113" t="n">
        <v>30</v>
      </c>
      <c r="E38" s="113" t="n">
        <v>14</v>
      </c>
      <c r="F38" s="113" t="n">
        <v>6</v>
      </c>
      <c r="G38" s="113" t="n">
        <v>2.4</v>
      </c>
      <c r="H38" s="113" t="n">
        <v>2.1</v>
      </c>
      <c r="I38" s="108" t="inlineStr">
        <is>
          <t>별도문의</t>
        </is>
      </c>
    </row>
    <row r="39" ht="60" customFormat="1" customHeight="1" s="16">
      <c r="A39" s="107" t="inlineStr">
        <is>
          <t xml:space="preserve">Routes: Compute Route Matrix Enterprise </t>
        </is>
      </c>
      <c r="B39" s="9" t="inlineStr">
        <is>
          <t>Enterprise</t>
        </is>
      </c>
      <c r="C39" s="9" t="n">
        <v>1000</v>
      </c>
      <c r="D39" s="110" t="n">
        <v>15</v>
      </c>
      <c r="E39" s="110" t="n">
        <v>12</v>
      </c>
      <c r="F39" s="109" t="n">
        <v>9</v>
      </c>
      <c r="G39" s="109" t="n">
        <v>4.5</v>
      </c>
      <c r="H39" s="109" t="n">
        <v>1.14</v>
      </c>
      <c r="I39" s="108" t="inlineStr">
        <is>
          <t>별도문의</t>
        </is>
      </c>
    </row>
    <row r="40" ht="60" customFormat="1" customHeight="1" s="16">
      <c r="A40" s="107" t="inlineStr">
        <is>
          <t xml:space="preserve">Routes: Compute Routes Enterprise </t>
        </is>
      </c>
      <c r="B40" s="9" t="inlineStr">
        <is>
          <t>Enterprise</t>
        </is>
      </c>
      <c r="C40" s="9" t="n">
        <v>1000</v>
      </c>
      <c r="D40" s="110" t="n">
        <v>15</v>
      </c>
      <c r="E40" s="110" t="n">
        <v>12</v>
      </c>
      <c r="F40" s="109" t="n">
        <v>9</v>
      </c>
      <c r="G40" s="109" t="n">
        <v>4.5</v>
      </c>
      <c r="H40" s="109" t="n">
        <v>1.14</v>
      </c>
      <c r="I40" s="108" t="inlineStr">
        <is>
          <t>별도문의</t>
        </is>
      </c>
    </row>
    <row r="41" ht="60" customHeight="1" s="85">
      <c r="A41" s="23" t="n"/>
      <c r="B41" s="23" t="n"/>
      <c r="C41" s="23" t="n"/>
      <c r="D41" s="23" t="n"/>
      <c r="E41" s="23" t="n"/>
      <c r="F41" s="23" t="n"/>
      <c r="G41" s="23" t="n"/>
      <c r="H41" s="24" t="n"/>
      <c r="I41" s="24" t="n"/>
    </row>
    <row r="42" ht="257.5" customFormat="1" customHeight="1" s="16">
      <c r="A42" s="6" t="inlineStr">
        <is>
          <t>Monthly volume range</t>
        </is>
      </c>
      <c r="B42" s="6" t="n"/>
      <c r="C42" s="6" t="inlineStr">
        <is>
          <t>Free Usage Cap¹</t>
        </is>
      </c>
      <c r="D42" s="6" t="inlineStr">
        <is>
          <t>Free usage cap  
to
4,200,000 destinations</t>
        </is>
      </c>
      <c r="E42" s="6" t="inlineStr">
        <is>
          <t>4,200,000
to
16,800,000 destinations</t>
        </is>
      </c>
      <c r="F42" s="6" t="inlineStr">
        <is>
          <t>16,800,000 +</t>
        </is>
      </c>
      <c r="G42" s="25" t="n"/>
      <c r="H42" s="26" t="n"/>
      <c r="I42" s="26" t="n"/>
    </row>
    <row r="43" ht="60" customFormat="1" customHeight="1" s="16">
      <c r="A43" s="107" t="inlineStr">
        <is>
          <t>Navigation Request</t>
        </is>
      </c>
      <c r="B43" s="9" t="inlineStr">
        <is>
          <t>Enterprise</t>
        </is>
      </c>
      <c r="C43" s="9" t="n">
        <v>1000</v>
      </c>
      <c r="D43" s="114" t="n">
        <v>50</v>
      </c>
      <c r="E43" s="114" t="n">
        <v>39.5</v>
      </c>
      <c r="F43" s="114" t="n">
        <v>28</v>
      </c>
      <c r="G43" s="115" t="n"/>
      <c r="H43" s="26" t="n"/>
      <c r="I43" s="26" t="n"/>
    </row>
    <row r="44" ht="60" customHeight="1" s="85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</row>
    <row r="45" ht="60" customHeight="1" s="8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 ht="101.5" customFormat="1" customHeight="1" s="20">
      <c r="A46" s="13" t="inlineStr">
        <is>
          <t>Places</t>
        </is>
      </c>
      <c r="B46" s="19" t="n"/>
      <c r="C46" s="19" t="n"/>
      <c r="D46" s="19" t="n"/>
      <c r="E46" s="19" t="n"/>
      <c r="F46" s="19" t="n"/>
      <c r="G46" s="19" t="n"/>
      <c r="H46" s="19" t="n"/>
      <c r="I46" s="19" t="n"/>
    </row>
    <row r="47" ht="60" customFormat="1" customHeight="1" s="16">
      <c r="A47" s="6" t="n"/>
      <c r="B47" s="6" t="n"/>
      <c r="C47" s="6" t="n"/>
      <c r="D47" s="7" t="inlineStr">
        <is>
          <t>COST PER THOUSAND (CPM)</t>
        </is>
      </c>
      <c r="E47" s="95" t="n"/>
      <c r="F47" s="95" t="n"/>
      <c r="G47" s="95" t="n"/>
      <c r="H47" s="95" t="n"/>
      <c r="I47" s="86" t="n"/>
    </row>
    <row r="48" ht="206" customFormat="1" customHeight="1" s="16">
      <c r="A48" s="6" t="inlineStr">
        <is>
          <t>Monthly volume range</t>
        </is>
      </c>
      <c r="B48" s="7" t="inlineStr">
        <is>
          <t xml:space="preserve">Category </t>
        </is>
      </c>
      <c r="C48" s="6" t="inlineStr">
        <is>
          <t>Free Usage Cap¹</t>
        </is>
      </c>
      <c r="D48" s="6" t="inlineStr">
        <is>
          <t>Free usage cap  
to 
100,000</t>
        </is>
      </c>
      <c r="E48" s="6" t="inlineStr">
        <is>
          <t>100,001
to
500,000</t>
        </is>
      </c>
      <c r="F48" s="6" t="inlineStr">
        <is>
          <t>500,001
to
1,000,000</t>
        </is>
      </c>
      <c r="G48" s="6" t="inlineStr">
        <is>
          <t>1,000,001
to
5,000,000</t>
        </is>
      </c>
      <c r="H48" s="6" t="inlineStr">
        <is>
          <t xml:space="preserve">5,000,001
to
10,000,000 </t>
        </is>
      </c>
      <c r="I48" s="6" t="inlineStr">
        <is>
          <t>10,000,000 +</t>
        </is>
      </c>
    </row>
    <row r="49" ht="60" customFormat="1" customHeight="1" s="16">
      <c r="A49" s="107" t="inlineStr">
        <is>
          <t>Autocomplete Session Usage</t>
        </is>
      </c>
      <c r="B49" s="9" t="inlineStr">
        <is>
          <t>Essentials</t>
        </is>
      </c>
      <c r="C49" s="9" t="inlineStr">
        <is>
          <t xml:space="preserve">Unlimited </t>
        </is>
      </c>
      <c r="D49" s="114" t="n">
        <v>0</v>
      </c>
      <c r="E49" s="114" t="n">
        <v>0</v>
      </c>
      <c r="F49" s="114" t="n">
        <v>0</v>
      </c>
      <c r="G49" s="114" t="n">
        <v>0</v>
      </c>
      <c r="H49" s="114" t="n">
        <v>0</v>
      </c>
      <c r="I49" s="108" t="inlineStr">
        <is>
          <t>별도문의</t>
        </is>
      </c>
    </row>
    <row r="50" ht="60" customFormat="1" customHeight="1" s="16">
      <c r="A50" s="107" t="inlineStr">
        <is>
          <t>Places API Place Details Essentials (IDs Only)</t>
        </is>
      </c>
      <c r="B50" s="9" t="inlineStr">
        <is>
          <t>Essentials</t>
        </is>
      </c>
      <c r="C50" s="9" t="inlineStr">
        <is>
          <t xml:space="preserve">Unlimited </t>
        </is>
      </c>
      <c r="D50" s="110" t="n">
        <v>0</v>
      </c>
      <c r="E50" s="110" t="n">
        <v>0</v>
      </c>
      <c r="F50" s="110" t="n">
        <v>0</v>
      </c>
      <c r="G50" s="110" t="n">
        <v>0</v>
      </c>
      <c r="H50" s="110" t="n">
        <v>0</v>
      </c>
      <c r="I50" s="108" t="inlineStr">
        <is>
          <t>별도문의</t>
        </is>
      </c>
    </row>
    <row r="51" ht="60" customFormat="1" customHeight="1" s="16">
      <c r="A51" s="107" t="inlineStr">
        <is>
          <t>Places API Text Search Essentials (IDs Only)</t>
        </is>
      </c>
      <c r="B51" s="9" t="inlineStr">
        <is>
          <t>Essentials</t>
        </is>
      </c>
      <c r="C51" s="9" t="inlineStr">
        <is>
          <t xml:space="preserve">Unlimited </t>
        </is>
      </c>
      <c r="D51" s="110" t="n">
        <v>0</v>
      </c>
      <c r="E51" s="110" t="n">
        <v>0</v>
      </c>
      <c r="F51" s="110" t="n">
        <v>0</v>
      </c>
      <c r="G51" s="110" t="n">
        <v>0</v>
      </c>
      <c r="H51" s="110" t="n">
        <v>0</v>
      </c>
      <c r="I51" s="108" t="inlineStr">
        <is>
          <t>별도문의</t>
        </is>
      </c>
    </row>
    <row r="52" ht="60" customFormat="1" customHeight="1" s="16">
      <c r="A52" s="107" t="inlineStr">
        <is>
          <t>Autocomplete Requests</t>
        </is>
      </c>
      <c r="B52" s="9" t="inlineStr">
        <is>
          <t>Essentials</t>
        </is>
      </c>
      <c r="C52" s="9" t="n">
        <v>10000</v>
      </c>
      <c r="D52" s="108" t="n">
        <v>2.83</v>
      </c>
      <c r="E52" s="108" t="n">
        <v>2.27</v>
      </c>
      <c r="F52" s="114" t="n">
        <v>1.7</v>
      </c>
      <c r="G52" s="114" t="n">
        <v>0.85</v>
      </c>
      <c r="H52" s="114" t="n">
        <v>0.21</v>
      </c>
      <c r="I52" s="108" t="inlineStr">
        <is>
          <t>별도문의</t>
        </is>
      </c>
    </row>
    <row r="53" ht="60" customFormat="1" customHeight="1" s="16">
      <c r="A53" s="107" t="inlineStr">
        <is>
          <t>Geocoding</t>
        </is>
      </c>
      <c r="B53" s="9" t="inlineStr">
        <is>
          <t>Essentials</t>
        </is>
      </c>
      <c r="C53" s="9" t="n">
        <v>10000</v>
      </c>
      <c r="D53" s="108" t="n">
        <v>5</v>
      </c>
      <c r="E53" s="108" t="n">
        <v>4</v>
      </c>
      <c r="F53" s="109" t="n">
        <v>3</v>
      </c>
      <c r="G53" s="109" t="n">
        <v>1.5</v>
      </c>
      <c r="H53" s="109" t="n">
        <v>0.38</v>
      </c>
      <c r="I53" s="108" t="inlineStr">
        <is>
          <t>별도문의</t>
        </is>
      </c>
    </row>
    <row r="54" ht="60" customFormat="1" customHeight="1" s="16">
      <c r="A54" s="107" t="inlineStr">
        <is>
          <t>Geolocation</t>
        </is>
      </c>
      <c r="B54" s="9" t="inlineStr">
        <is>
          <t>Essentials</t>
        </is>
      </c>
      <c r="C54" s="9" t="n">
        <v>10000</v>
      </c>
      <c r="D54" s="108" t="n">
        <v>5</v>
      </c>
      <c r="E54" s="108" t="n">
        <v>4</v>
      </c>
      <c r="F54" s="109" t="n">
        <v>3</v>
      </c>
      <c r="G54" s="109" t="n">
        <v>1.5</v>
      </c>
      <c r="H54" s="109" t="n">
        <v>0.38</v>
      </c>
      <c r="I54" s="108" t="inlineStr">
        <is>
          <t>별도문의</t>
        </is>
      </c>
    </row>
    <row r="55" ht="60" customFormat="1" customHeight="1" s="16">
      <c r="A55" s="107" t="inlineStr">
        <is>
          <t>Places API Place Details Essentials</t>
        </is>
      </c>
      <c r="B55" s="9" t="inlineStr">
        <is>
          <t>Essentials</t>
        </is>
      </c>
      <c r="C55" s="9" t="n">
        <v>10000</v>
      </c>
      <c r="D55" s="108" t="n">
        <v>5</v>
      </c>
      <c r="E55" s="108" t="n">
        <v>4</v>
      </c>
      <c r="F55" s="114" t="n">
        <v>3</v>
      </c>
      <c r="G55" s="114" t="n">
        <v>1.5</v>
      </c>
      <c r="H55" s="114" t="n">
        <v>0.38</v>
      </c>
      <c r="I55" s="108" t="inlineStr">
        <is>
          <t>별도문의</t>
        </is>
      </c>
    </row>
    <row r="56" ht="60" customFormat="1" customHeight="1" s="16">
      <c r="A56" s="116" t="inlineStr">
        <is>
          <t>Time Zone</t>
        </is>
      </c>
      <c r="B56" s="9" t="inlineStr">
        <is>
          <t>Essentials</t>
        </is>
      </c>
      <c r="C56" s="9" t="n">
        <v>10000</v>
      </c>
      <c r="D56" s="108" t="n">
        <v>5</v>
      </c>
      <c r="E56" s="108" t="n">
        <v>4</v>
      </c>
      <c r="F56" s="109" t="n">
        <v>3</v>
      </c>
      <c r="G56" s="109" t="n">
        <v>1.5</v>
      </c>
      <c r="H56" s="109" t="n">
        <v>0.38</v>
      </c>
      <c r="I56" s="108" t="inlineStr">
        <is>
          <t>별도문의</t>
        </is>
      </c>
    </row>
    <row r="57" ht="60" customFormat="1" customHeight="1" s="16">
      <c r="A57" s="107" t="inlineStr">
        <is>
          <t>Address Validation Pro</t>
        </is>
      </c>
      <c r="B57" s="9" t="inlineStr">
        <is>
          <t xml:space="preserve">Pro </t>
        </is>
      </c>
      <c r="C57" s="9" t="n">
        <v>5000</v>
      </c>
      <c r="D57" s="114" t="n">
        <v>17</v>
      </c>
      <c r="E57" s="114" t="n">
        <v>13.6</v>
      </c>
      <c r="F57" s="114" t="n">
        <v>10.2</v>
      </c>
      <c r="G57" s="114" t="n">
        <v>5.1</v>
      </c>
      <c r="H57" s="114" t="n">
        <v>1.28</v>
      </c>
      <c r="I57" s="108" t="inlineStr">
        <is>
          <t>별도문의</t>
        </is>
      </c>
    </row>
    <row r="58" ht="60" customFormat="1" customHeight="1" s="16">
      <c r="A58" s="107" t="inlineStr">
        <is>
          <t>Places API Nearby Search Pro</t>
        </is>
      </c>
      <c r="B58" s="9" t="inlineStr">
        <is>
          <t xml:space="preserve">Pro </t>
        </is>
      </c>
      <c r="C58" s="9" t="n">
        <v>5000</v>
      </c>
      <c r="D58" s="110" t="n">
        <v>32</v>
      </c>
      <c r="E58" s="110" t="n">
        <v>25.6</v>
      </c>
      <c r="F58" s="110" t="n">
        <v>19.2</v>
      </c>
      <c r="G58" s="110" t="n">
        <v>9.6</v>
      </c>
      <c r="H58" s="110" t="n">
        <v>2.4</v>
      </c>
      <c r="I58" s="108" t="inlineStr">
        <is>
          <t>별도문의</t>
        </is>
      </c>
    </row>
    <row r="59" ht="60" customFormat="1" customHeight="1" s="16">
      <c r="A59" s="107" t="inlineStr">
        <is>
          <t>Places API Place Details Pro</t>
        </is>
      </c>
      <c r="B59" s="9" t="inlineStr">
        <is>
          <t xml:space="preserve">Pro </t>
        </is>
      </c>
      <c r="C59" s="9" t="n">
        <v>5000</v>
      </c>
      <c r="D59" s="110" t="n">
        <v>17</v>
      </c>
      <c r="E59" s="110" t="n">
        <v>13.6</v>
      </c>
      <c r="F59" s="110" t="n">
        <v>10.2</v>
      </c>
      <c r="G59" s="110" t="n">
        <v>5.1</v>
      </c>
      <c r="H59" s="110" t="n">
        <v>1.28</v>
      </c>
      <c r="I59" s="108" t="inlineStr">
        <is>
          <t>별도문의</t>
        </is>
      </c>
    </row>
    <row r="60" ht="60" customFormat="1" customHeight="1" s="16">
      <c r="A60" s="107" t="inlineStr">
        <is>
          <t>Places API Text Search Pro</t>
        </is>
      </c>
      <c r="B60" s="9" t="inlineStr">
        <is>
          <t xml:space="preserve">Pro </t>
        </is>
      </c>
      <c r="C60" s="9" t="n">
        <v>5000</v>
      </c>
      <c r="D60" s="110" t="n">
        <v>32</v>
      </c>
      <c r="E60" s="110" t="n">
        <v>25.6</v>
      </c>
      <c r="F60" s="110" t="n">
        <v>19.2</v>
      </c>
      <c r="G60" s="110" t="n">
        <v>9.6</v>
      </c>
      <c r="H60" s="110" t="n">
        <v>2.4</v>
      </c>
      <c r="I60" s="108" t="inlineStr">
        <is>
          <t>별도문의</t>
        </is>
      </c>
    </row>
    <row r="61" ht="60" customFormat="1" customHeight="1" s="16">
      <c r="A61" s="107" t="inlineStr">
        <is>
          <t xml:space="preserve">Address Validation Enterprise </t>
        </is>
      </c>
      <c r="B61" s="9" t="inlineStr">
        <is>
          <t>Enterprise</t>
        </is>
      </c>
      <c r="C61" s="9" t="n">
        <v>1000</v>
      </c>
      <c r="D61" s="108" t="n">
        <v>25</v>
      </c>
      <c r="E61" s="108" t="n">
        <v>20</v>
      </c>
      <c r="F61" s="114" t="n">
        <v>15</v>
      </c>
      <c r="G61" s="114" t="n">
        <v>7.5</v>
      </c>
      <c r="H61" s="114" t="n">
        <v>2.28</v>
      </c>
      <c r="I61" s="108" t="inlineStr">
        <is>
          <t>별도문의</t>
        </is>
      </c>
    </row>
    <row r="62" ht="60" customFormat="1" customHeight="1" s="16">
      <c r="A62" s="107" t="inlineStr">
        <is>
          <t xml:space="preserve">Places API Nearby Search Enterprise </t>
        </is>
      </c>
      <c r="B62" s="9" t="inlineStr">
        <is>
          <t>Enterprise</t>
        </is>
      </c>
      <c r="C62" s="9" t="n">
        <v>1000</v>
      </c>
      <c r="D62" s="110" t="n">
        <v>35</v>
      </c>
      <c r="E62" s="110" t="n">
        <v>28</v>
      </c>
      <c r="F62" s="110" t="n">
        <v>21</v>
      </c>
      <c r="G62" s="110" t="n">
        <v>10.5</v>
      </c>
      <c r="H62" s="110" t="n">
        <v>2.63</v>
      </c>
      <c r="I62" s="108" t="inlineStr">
        <is>
          <t>별도문의</t>
        </is>
      </c>
    </row>
    <row r="63" ht="60" customFormat="1" customHeight="1" s="16">
      <c r="A63" s="107" t="inlineStr">
        <is>
          <t xml:space="preserve">Places API Nearby Search Enterprise + Atmosphere </t>
        </is>
      </c>
      <c r="B63" s="9" t="inlineStr">
        <is>
          <t>Enterprise</t>
        </is>
      </c>
      <c r="C63" s="9" t="n">
        <v>1000</v>
      </c>
      <c r="D63" s="110" t="n">
        <v>40</v>
      </c>
      <c r="E63" s="110" t="n">
        <v>32</v>
      </c>
      <c r="F63" s="110" t="n">
        <v>24</v>
      </c>
      <c r="G63" s="110" t="n">
        <v>12</v>
      </c>
      <c r="H63" s="110" t="n">
        <v>3.4</v>
      </c>
      <c r="I63" s="108" t="inlineStr">
        <is>
          <t>별도문의</t>
        </is>
      </c>
    </row>
    <row r="64" ht="60" customFormat="1" customHeight="1" s="16">
      <c r="A64" s="107" t="inlineStr">
        <is>
          <t xml:space="preserve">Places API Place Details Enterprise </t>
        </is>
      </c>
      <c r="B64" s="9" t="inlineStr">
        <is>
          <t>Enterprise</t>
        </is>
      </c>
      <c r="C64" s="9" t="n">
        <v>1000</v>
      </c>
      <c r="D64" s="110" t="n">
        <v>20</v>
      </c>
      <c r="E64" s="110" t="n">
        <v>16</v>
      </c>
      <c r="F64" s="110" t="n">
        <v>12</v>
      </c>
      <c r="G64" s="110" t="n">
        <v>6</v>
      </c>
      <c r="H64" s="110" t="n">
        <v>1.51</v>
      </c>
      <c r="I64" s="108" t="inlineStr">
        <is>
          <t>별도문의</t>
        </is>
      </c>
    </row>
    <row r="65" ht="60" customFormat="1" customHeight="1" s="16">
      <c r="A65" s="107" t="inlineStr">
        <is>
          <t xml:space="preserve">Places API Place Details Enterprise + Atmosphere </t>
        </is>
      </c>
      <c r="B65" s="9" t="inlineStr">
        <is>
          <t>Enterprise</t>
        </is>
      </c>
      <c r="C65" s="9" t="n">
        <v>1000</v>
      </c>
      <c r="D65" s="110" t="n">
        <v>25</v>
      </c>
      <c r="E65" s="110" t="n">
        <v>20</v>
      </c>
      <c r="F65" s="110" t="n">
        <v>15</v>
      </c>
      <c r="G65" s="110" t="n">
        <v>7.5</v>
      </c>
      <c r="H65" s="110" t="n">
        <v>2.28</v>
      </c>
      <c r="I65" s="108" t="inlineStr">
        <is>
          <t>별도문의</t>
        </is>
      </c>
    </row>
    <row r="66" ht="60" customFormat="1" customHeight="1" s="16">
      <c r="A66" s="107" t="inlineStr">
        <is>
          <t xml:space="preserve">Places API Place Details Photos </t>
        </is>
      </c>
      <c r="B66" s="9" t="inlineStr">
        <is>
          <t>Enterprise</t>
        </is>
      </c>
      <c r="C66" s="9" t="n">
        <v>1000</v>
      </c>
      <c r="D66" s="110" t="n">
        <v>7</v>
      </c>
      <c r="E66" s="110" t="n">
        <v>5.6</v>
      </c>
      <c r="F66" s="110" t="n">
        <v>4.2</v>
      </c>
      <c r="G66" s="110" t="n">
        <v>2.1</v>
      </c>
      <c r="H66" s="110" t="n">
        <v>0.53</v>
      </c>
      <c r="I66" s="108" t="inlineStr">
        <is>
          <t>별도문의</t>
        </is>
      </c>
    </row>
    <row r="67" ht="60" customFormat="1" customHeight="1" s="16">
      <c r="A67" s="107" t="inlineStr">
        <is>
          <t xml:space="preserve">Places API Text Search Enterprise </t>
        </is>
      </c>
      <c r="B67" s="9" t="inlineStr">
        <is>
          <t>Enterprise</t>
        </is>
      </c>
      <c r="C67" s="9" t="n">
        <v>1000</v>
      </c>
      <c r="D67" s="110" t="n">
        <v>35</v>
      </c>
      <c r="E67" s="110" t="n">
        <v>28</v>
      </c>
      <c r="F67" s="110" t="n">
        <v>21</v>
      </c>
      <c r="G67" s="110" t="n">
        <v>10.5</v>
      </c>
      <c r="H67" s="110" t="n">
        <v>2.63</v>
      </c>
      <c r="I67" s="108" t="inlineStr">
        <is>
          <t>별도문의</t>
        </is>
      </c>
    </row>
    <row r="68" ht="60" customFormat="1" customHeight="1" s="16">
      <c r="A68" s="107" t="inlineStr">
        <is>
          <t xml:space="preserve">Places API Text Search Enterprise + Atmosphere </t>
        </is>
      </c>
      <c r="B68" s="9" t="inlineStr">
        <is>
          <t>Enterprise</t>
        </is>
      </c>
      <c r="C68" s="9" t="n">
        <v>1000</v>
      </c>
      <c r="D68" s="110" t="n">
        <v>40</v>
      </c>
      <c r="E68" s="110" t="n">
        <v>32</v>
      </c>
      <c r="F68" s="110" t="n">
        <v>24</v>
      </c>
      <c r="G68" s="110" t="n">
        <v>12</v>
      </c>
      <c r="H68" s="110" t="n">
        <v>3.4</v>
      </c>
      <c r="I68" s="108" t="inlineStr">
        <is>
          <t>별도문의</t>
        </is>
      </c>
    </row>
    <row r="69" ht="60" customHeight="1" s="85">
      <c r="A69" s="12" t="n"/>
      <c r="B69" s="12" t="n"/>
      <c r="C69" s="12" t="n"/>
      <c r="D69" s="12" t="n"/>
      <c r="E69" s="12" t="n"/>
      <c r="F69" s="12" t="n"/>
      <c r="G69" s="12" t="n"/>
      <c r="H69" s="17" t="n"/>
      <c r="I69" s="17" t="n"/>
    </row>
    <row r="70" ht="60" customHeight="1" s="85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</row>
    <row r="71" ht="101.5" customFormat="1" customHeight="1" s="20">
      <c r="A71" s="13" t="inlineStr">
        <is>
          <t>Environment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</row>
    <row r="72" ht="60" customFormat="1" customHeight="1" s="16">
      <c r="A72" s="6" t="n"/>
      <c r="B72" s="6" t="n"/>
      <c r="C72" s="6" t="n"/>
      <c r="D72" s="7" t="inlineStr">
        <is>
          <t>COST PER THOUSAND (CPM)</t>
        </is>
      </c>
      <c r="E72" s="95" t="n"/>
      <c r="F72" s="95" t="n"/>
      <c r="G72" s="95" t="n"/>
      <c r="H72" s="95" t="n"/>
      <c r="I72" s="86" t="n"/>
    </row>
    <row r="73" ht="241.25" customFormat="1" customHeight="1" s="16">
      <c r="A73" s="6" t="inlineStr">
        <is>
          <t>Monthly volume range</t>
        </is>
      </c>
      <c r="B73" s="7" t="inlineStr">
        <is>
          <t xml:space="preserve">Category </t>
        </is>
      </c>
      <c r="C73" s="6" t="inlineStr">
        <is>
          <t>Free Usage Cap¹</t>
        </is>
      </c>
      <c r="D73" s="6" t="inlineStr">
        <is>
          <t>Free usage cap  
to 
100,000</t>
        </is>
      </c>
      <c r="E73" s="6" t="inlineStr">
        <is>
          <t>100,001
to
500,000</t>
        </is>
      </c>
      <c r="F73" s="6" t="inlineStr">
        <is>
          <t>500,001
to
1,000,000</t>
        </is>
      </c>
      <c r="G73" s="6" t="inlineStr">
        <is>
          <t>1,000,001
to
5,000,000</t>
        </is>
      </c>
      <c r="H73" s="6" t="inlineStr">
        <is>
          <t xml:space="preserve">5,000,001
to
10,000,000 </t>
        </is>
      </c>
      <c r="I73" s="6" t="inlineStr">
        <is>
          <t>10,000,000 +</t>
        </is>
      </c>
    </row>
    <row r="74" ht="60" customFormat="1" customHeight="1" s="16">
      <c r="A74" s="107" t="inlineStr">
        <is>
          <t>Air Quality Usage</t>
        </is>
      </c>
      <c r="B74" s="9" t="inlineStr">
        <is>
          <t>Essentials</t>
        </is>
      </c>
      <c r="C74" s="9" t="n">
        <v>10000</v>
      </c>
      <c r="D74" s="110" t="n">
        <v>5</v>
      </c>
      <c r="E74" s="110" t="n">
        <v>4</v>
      </c>
      <c r="F74" s="114" t="n">
        <v>2</v>
      </c>
      <c r="G74" s="114" t="n">
        <v>0.5</v>
      </c>
      <c r="H74" s="114" t="n">
        <v>0.25</v>
      </c>
      <c r="I74" s="108" t="inlineStr">
        <is>
          <t>별도문의</t>
        </is>
      </c>
    </row>
    <row r="75" ht="60" customFormat="1" customHeight="1" s="16">
      <c r="A75" s="107" t="inlineStr">
        <is>
          <t>Solar API Building Insights</t>
        </is>
      </c>
      <c r="B75" s="9" t="inlineStr">
        <is>
          <t>Essentials</t>
        </is>
      </c>
      <c r="C75" s="9" t="n">
        <v>10000</v>
      </c>
      <c r="D75" s="114" t="n">
        <v>10</v>
      </c>
      <c r="E75" s="114" t="n">
        <v>5</v>
      </c>
      <c r="F75" s="114" t="n">
        <v>4.5</v>
      </c>
      <c r="G75" s="114" t="n">
        <v>4</v>
      </c>
      <c r="H75" s="114" t="n">
        <v>3.5</v>
      </c>
      <c r="I75" s="108" t="inlineStr">
        <is>
          <t>별도문의</t>
        </is>
      </c>
    </row>
    <row r="76" ht="60" customFormat="1" customHeight="1" s="16">
      <c r="A76" s="107" t="inlineStr">
        <is>
          <t>Pollen Usage</t>
        </is>
      </c>
      <c r="B76" s="9" t="inlineStr">
        <is>
          <t xml:space="preserve">Pro </t>
        </is>
      </c>
      <c r="C76" s="9" t="n">
        <v>5000</v>
      </c>
      <c r="D76" s="110" t="n">
        <v>10</v>
      </c>
      <c r="E76" s="110" t="n">
        <v>8</v>
      </c>
      <c r="F76" s="114" t="n">
        <v>4</v>
      </c>
      <c r="G76" s="114" t="n">
        <v>1</v>
      </c>
      <c r="H76" s="114" t="n">
        <v>0.5</v>
      </c>
      <c r="I76" s="108" t="inlineStr">
        <is>
          <t>별도문의</t>
        </is>
      </c>
    </row>
    <row r="77" ht="60" customFormat="1" customHeight="1" s="16">
      <c r="A77" s="107" t="inlineStr">
        <is>
          <t>Solar API Data Layers</t>
        </is>
      </c>
      <c r="B77" s="9" t="inlineStr">
        <is>
          <t>Enterprise</t>
        </is>
      </c>
      <c r="C77" s="9" t="n">
        <v>1000</v>
      </c>
      <c r="D77" s="114" t="n">
        <v>75</v>
      </c>
      <c r="E77" s="114" t="n">
        <v>37.5</v>
      </c>
      <c r="F77" s="114" t="n">
        <v>33.75</v>
      </c>
      <c r="G77" s="114" t="n">
        <v>30</v>
      </c>
      <c r="H77" s="114" t="n">
        <v>26.25</v>
      </c>
      <c r="I77" s="108" t="inlineStr">
        <is>
          <t>별도문의</t>
        </is>
      </c>
    </row>
    <row r="78" ht="60" customHeight="1" s="85">
      <c r="A78" s="12" t="n"/>
      <c r="B78" s="12" t="n"/>
      <c r="C78" s="12" t="n"/>
      <c r="D78" s="12" t="n"/>
      <c r="E78" s="12" t="n"/>
      <c r="F78" s="12" t="n"/>
      <c r="G78" s="12" t="n"/>
      <c r="H78" s="17" t="n"/>
      <c r="I78" s="17" t="n"/>
    </row>
    <row r="79" ht="60" customHeight="1" s="85">
      <c r="A79" s="12" t="n"/>
      <c r="B79" s="12" t="n"/>
      <c r="C79" s="12" t="n"/>
      <c r="D79" s="12" t="n"/>
      <c r="E79" s="12" t="n"/>
      <c r="F79" s="12" t="n"/>
      <c r="G79" s="12" t="n"/>
      <c r="H79" s="17" t="n"/>
      <c r="I79" s="17" t="n"/>
    </row>
    <row r="80" ht="101.5" customFormat="1" customHeight="1" s="20">
      <c r="A80" s="13" t="inlineStr">
        <is>
          <t>Places API - Legacy³</t>
        </is>
      </c>
      <c r="B80" s="19" t="n"/>
      <c r="C80" s="19" t="n"/>
      <c r="D80" s="19" t="n"/>
      <c r="E80" s="19" t="n"/>
      <c r="F80" s="19" t="n"/>
      <c r="G80" s="19" t="n"/>
      <c r="H80" s="19" t="n"/>
      <c r="I80" s="19" t="n"/>
    </row>
    <row r="81" ht="60" customFormat="1" customHeight="1" s="16">
      <c r="A81" s="6" t="n"/>
      <c r="B81" s="6" t="n"/>
      <c r="C81" s="6" t="n"/>
      <c r="D81" s="7" t="inlineStr">
        <is>
          <t>COST PER THOUSAND (CPM)</t>
        </is>
      </c>
      <c r="E81" s="95" t="n"/>
      <c r="F81" s="95" t="n"/>
      <c r="G81" s="95" t="n"/>
      <c r="H81" s="95" t="n"/>
      <c r="I81" s="86" t="n"/>
    </row>
    <row r="82" ht="206" customFormat="1" customHeight="1" s="16">
      <c r="A82" s="6" t="inlineStr">
        <is>
          <t>Monthly volume range</t>
        </is>
      </c>
      <c r="B82" s="7" t="inlineStr">
        <is>
          <t xml:space="preserve">Category </t>
        </is>
      </c>
      <c r="C82" s="6" t="inlineStr">
        <is>
          <t>Free Usage Cap¹</t>
        </is>
      </c>
      <c r="D82" s="6" t="inlineStr">
        <is>
          <t>Free usage cap  
to 
100,000</t>
        </is>
      </c>
      <c r="E82" s="6" t="inlineStr">
        <is>
          <t>100,001
to
500,000</t>
        </is>
      </c>
      <c r="F82" s="6" t="inlineStr">
        <is>
          <t>500,001
to
1,000,000</t>
        </is>
      </c>
      <c r="G82" s="6" t="inlineStr">
        <is>
          <t>1,000,001
to
5,000,000</t>
        </is>
      </c>
      <c r="H82" s="6" t="inlineStr">
        <is>
          <t xml:space="preserve">5,000,001
to
10,000,000 </t>
        </is>
      </c>
      <c r="I82" s="6" t="inlineStr">
        <is>
          <t>10,000,000 +</t>
        </is>
      </c>
    </row>
    <row r="83" ht="60" customFormat="1" customHeight="1" s="16">
      <c r="A83" s="107" t="inlineStr">
        <is>
          <t>Autocomplete (included with Places Details) - Per Session⁴</t>
        </is>
      </c>
      <c r="B83" s="9" t="inlineStr">
        <is>
          <t>Essentials</t>
        </is>
      </c>
      <c r="C83" s="9" t="inlineStr">
        <is>
          <t xml:space="preserve">Unlimited </t>
        </is>
      </c>
      <c r="D83" s="108" t="n">
        <v>0</v>
      </c>
      <c r="E83" s="108" t="n">
        <v>0</v>
      </c>
      <c r="F83" s="108" t="n">
        <v>0</v>
      </c>
      <c r="G83" s="108" t="n">
        <v>0</v>
      </c>
      <c r="H83" s="108" t="n">
        <v>0</v>
      </c>
      <c r="I83" s="108" t="inlineStr">
        <is>
          <t>별도문의</t>
        </is>
      </c>
    </row>
    <row r="84" ht="60" customFormat="1" customHeight="1" s="16">
      <c r="A84" s="107" t="inlineStr">
        <is>
          <t>Basic Data⁵</t>
        </is>
      </c>
      <c r="B84" s="9" t="inlineStr">
        <is>
          <t>Essentials</t>
        </is>
      </c>
      <c r="C84" s="9" t="inlineStr">
        <is>
          <t xml:space="preserve">Unlimited </t>
        </is>
      </c>
      <c r="D84" s="108" t="n">
        <v>0</v>
      </c>
      <c r="E84" s="108" t="n">
        <v>0</v>
      </c>
      <c r="F84" s="108" t="n">
        <v>0</v>
      </c>
      <c r="G84" s="108" t="n">
        <v>0</v>
      </c>
      <c r="H84" s="108" t="n">
        <v>0</v>
      </c>
      <c r="I84" s="108" t="inlineStr">
        <is>
          <t>별도문의</t>
        </is>
      </c>
    </row>
    <row r="85" ht="60" customFormat="1" customHeight="1" s="16">
      <c r="A85" s="107" t="inlineStr">
        <is>
          <t>Find Place - ID only</t>
        </is>
      </c>
      <c r="B85" s="9" t="inlineStr">
        <is>
          <t>Essentials</t>
        </is>
      </c>
      <c r="C85" s="9" t="inlineStr">
        <is>
          <t xml:space="preserve">Unlimited </t>
        </is>
      </c>
      <c r="D85" s="108" t="n">
        <v>0</v>
      </c>
      <c r="E85" s="108" t="n">
        <v>0</v>
      </c>
      <c r="F85" s="108" t="n">
        <v>0</v>
      </c>
      <c r="G85" s="108" t="n">
        <v>0</v>
      </c>
      <c r="H85" s="108" t="n">
        <v>0</v>
      </c>
      <c r="I85" s="108" t="inlineStr">
        <is>
          <t>별도문의</t>
        </is>
      </c>
    </row>
    <row r="86" ht="60" customFormat="1" customHeight="1" s="16">
      <c r="A86" s="107" t="inlineStr">
        <is>
          <t>Places Details - ID Refresh</t>
        </is>
      </c>
      <c r="B86" s="9" t="inlineStr">
        <is>
          <t>Essentials</t>
        </is>
      </c>
      <c r="C86" s="9" t="inlineStr">
        <is>
          <t xml:space="preserve">Unlimited </t>
        </is>
      </c>
      <c r="D86" s="108" t="n">
        <v>0</v>
      </c>
      <c r="E86" s="108" t="n">
        <v>0</v>
      </c>
      <c r="F86" s="108" t="n">
        <v>0</v>
      </c>
      <c r="G86" s="108" t="n">
        <v>0</v>
      </c>
      <c r="H86" s="108" t="n">
        <v>0</v>
      </c>
      <c r="I86" s="108" t="inlineStr">
        <is>
          <t>별도문의</t>
        </is>
      </c>
    </row>
    <row r="87" ht="60" customFormat="1" customHeight="1" s="16">
      <c r="A87" s="107" t="inlineStr">
        <is>
          <t>Autocomplete - Per Request</t>
        </is>
      </c>
      <c r="B87" s="9" t="inlineStr">
        <is>
          <t>Essentials</t>
        </is>
      </c>
      <c r="C87" s="9" t="n">
        <v>10000</v>
      </c>
      <c r="D87" s="108" t="n">
        <v>2.83</v>
      </c>
      <c r="E87" s="108" t="n">
        <v>2.27</v>
      </c>
      <c r="F87" s="109" t="n">
        <v>1.7</v>
      </c>
      <c r="G87" s="109" t="n">
        <v>0.85</v>
      </c>
      <c r="H87" s="109" t="n">
        <v>0.21</v>
      </c>
      <c r="I87" s="108" t="inlineStr">
        <is>
          <t>별도문의</t>
        </is>
      </c>
    </row>
    <row r="88" ht="60" customFormat="1" customHeight="1" s="16">
      <c r="A88" s="107" t="inlineStr">
        <is>
          <t>Query Autocomplete - Per Request</t>
        </is>
      </c>
      <c r="B88" s="9" t="inlineStr">
        <is>
          <t>Essentials</t>
        </is>
      </c>
      <c r="C88" s="9" t="n">
        <v>10000</v>
      </c>
      <c r="D88" s="108" t="n">
        <v>2.83</v>
      </c>
      <c r="E88" s="108" t="n">
        <v>2.27</v>
      </c>
      <c r="F88" s="109" t="n">
        <v>1.7</v>
      </c>
      <c r="G88" s="109" t="n">
        <v>0.85</v>
      </c>
      <c r="H88" s="109" t="n">
        <v>0.21</v>
      </c>
      <c r="I88" s="108" t="inlineStr">
        <is>
          <t>별도문의</t>
        </is>
      </c>
    </row>
    <row r="89" ht="60" customFormat="1" customHeight="1" s="16">
      <c r="A89" s="107" t="inlineStr">
        <is>
          <t>Autocomplete without Places Details - Per Session</t>
        </is>
      </c>
      <c r="B89" s="9" t="inlineStr">
        <is>
          <t xml:space="preserve">Pro </t>
        </is>
      </c>
      <c r="C89" s="9" t="n">
        <v>5000</v>
      </c>
      <c r="D89" s="108" t="n">
        <v>17</v>
      </c>
      <c r="E89" s="108" t="n">
        <v>13.6</v>
      </c>
      <c r="F89" s="109" t="n">
        <v>10.2</v>
      </c>
      <c r="G89" s="109" t="n">
        <v>5.1</v>
      </c>
      <c r="H89" s="109" t="n">
        <v>1.28</v>
      </c>
      <c r="I89" s="108" t="inlineStr">
        <is>
          <t>별도문의</t>
        </is>
      </c>
    </row>
    <row r="90" ht="60" customFormat="1" customHeight="1" s="16">
      <c r="A90" s="107" t="inlineStr">
        <is>
          <t>Find Current Place</t>
        </is>
      </c>
      <c r="B90" s="9" t="inlineStr">
        <is>
          <t xml:space="preserve">Pro </t>
        </is>
      </c>
      <c r="C90" s="9" t="n">
        <v>5000</v>
      </c>
      <c r="D90" s="108" t="n">
        <v>30</v>
      </c>
      <c r="E90" s="108" t="n">
        <v>24</v>
      </c>
      <c r="F90" s="109" t="n">
        <v>18</v>
      </c>
      <c r="G90" s="109" t="n">
        <v>9</v>
      </c>
      <c r="H90" s="109" t="n">
        <v>2.25</v>
      </c>
      <c r="I90" s="108" t="inlineStr">
        <is>
          <t>별도문의</t>
        </is>
      </c>
    </row>
    <row r="91" ht="60" customFormat="1" customHeight="1" s="16">
      <c r="A91" s="107" t="inlineStr">
        <is>
          <t>Find Place</t>
        </is>
      </c>
      <c r="B91" s="9" t="inlineStr">
        <is>
          <t xml:space="preserve">Pro </t>
        </is>
      </c>
      <c r="C91" s="9" t="n">
        <v>5000</v>
      </c>
      <c r="D91" s="108" t="n">
        <v>17</v>
      </c>
      <c r="E91" s="108" t="n">
        <v>13.6</v>
      </c>
      <c r="F91" s="109" t="n">
        <v>10.2</v>
      </c>
      <c r="G91" s="109" t="n">
        <v>5.1</v>
      </c>
      <c r="H91" s="109" t="n">
        <v>1.28</v>
      </c>
      <c r="I91" s="108" t="inlineStr">
        <is>
          <t>별도문의</t>
        </is>
      </c>
    </row>
    <row r="92" ht="60" customFormat="1" customHeight="1" s="16">
      <c r="A92" s="107" t="inlineStr">
        <is>
          <t>Places - Nearby Search</t>
        </is>
      </c>
      <c r="B92" s="9" t="inlineStr">
        <is>
          <t xml:space="preserve">Pro </t>
        </is>
      </c>
      <c r="C92" s="9" t="n">
        <v>5000</v>
      </c>
      <c r="D92" s="108" t="n">
        <v>32</v>
      </c>
      <c r="E92" s="108" t="n">
        <v>25.6</v>
      </c>
      <c r="F92" s="109" t="n">
        <v>19.2</v>
      </c>
      <c r="G92" s="109" t="n">
        <v>9.6</v>
      </c>
      <c r="H92" s="109" t="n">
        <v>2.4</v>
      </c>
      <c r="I92" s="108" t="inlineStr">
        <is>
          <t>별도문의</t>
        </is>
      </c>
    </row>
    <row r="93" ht="60" customFormat="1" customHeight="1" s="16">
      <c r="A93" s="107" t="inlineStr">
        <is>
          <t>Places - Text Search</t>
        </is>
      </c>
      <c r="B93" s="9" t="inlineStr">
        <is>
          <t xml:space="preserve">Pro </t>
        </is>
      </c>
      <c r="C93" s="9" t="n">
        <v>5000</v>
      </c>
      <c r="D93" s="108" t="n">
        <v>32</v>
      </c>
      <c r="E93" s="108" t="n">
        <v>25.6</v>
      </c>
      <c r="F93" s="109" t="n">
        <v>19.2</v>
      </c>
      <c r="G93" s="109" t="n">
        <v>9.6</v>
      </c>
      <c r="H93" s="109" t="n">
        <v>2.4</v>
      </c>
      <c r="I93" s="108" t="inlineStr">
        <is>
          <t>별도문의</t>
        </is>
      </c>
    </row>
    <row r="94" ht="60" customFormat="1" customHeight="1" s="16">
      <c r="A94" s="107" t="inlineStr">
        <is>
          <t>Places Details</t>
        </is>
      </c>
      <c r="B94" s="9" t="inlineStr">
        <is>
          <t xml:space="preserve">Pro </t>
        </is>
      </c>
      <c r="C94" s="9" t="n">
        <v>5000</v>
      </c>
      <c r="D94" s="108" t="n">
        <v>17</v>
      </c>
      <c r="E94" s="108" t="n">
        <v>13.6</v>
      </c>
      <c r="F94" s="109" t="n">
        <v>10.2</v>
      </c>
      <c r="G94" s="109" t="n">
        <v>5.1</v>
      </c>
      <c r="H94" s="109" t="n">
        <v>1.28</v>
      </c>
      <c r="I94" s="108" t="inlineStr">
        <is>
          <t>별도문의</t>
        </is>
      </c>
    </row>
    <row r="95" ht="60" customFormat="1" customHeight="1" s="16">
      <c r="A95" s="107" t="inlineStr">
        <is>
          <t>Atmosphere Data</t>
        </is>
      </c>
      <c r="B95" s="9" t="inlineStr">
        <is>
          <t>Enterprise</t>
        </is>
      </c>
      <c r="C95" s="9" t="n">
        <v>1000</v>
      </c>
      <c r="D95" s="108" t="n">
        <v>5</v>
      </c>
      <c r="E95" s="108" t="n">
        <v>4</v>
      </c>
      <c r="F95" s="109" t="n">
        <v>3</v>
      </c>
      <c r="G95" s="109" t="n">
        <v>1.5</v>
      </c>
      <c r="H95" s="109" t="n">
        <v>0.77</v>
      </c>
      <c r="I95" s="108" t="inlineStr">
        <is>
          <t>별도문의</t>
        </is>
      </c>
    </row>
    <row r="96" ht="60" customFormat="1" customHeight="1" s="16">
      <c r="A96" s="107" t="inlineStr">
        <is>
          <t>Contact Data</t>
        </is>
      </c>
      <c r="B96" s="9" t="inlineStr">
        <is>
          <t>Enterprise</t>
        </is>
      </c>
      <c r="C96" s="9" t="n">
        <v>1000</v>
      </c>
      <c r="D96" s="108" t="n">
        <v>3</v>
      </c>
      <c r="E96" s="108" t="n">
        <v>2.4</v>
      </c>
      <c r="F96" s="109" t="n">
        <v>1.8</v>
      </c>
      <c r="G96" s="109" t="n">
        <v>0.9</v>
      </c>
      <c r="H96" s="109" t="n">
        <v>0.23</v>
      </c>
      <c r="I96" s="108" t="inlineStr">
        <is>
          <t>별도문의</t>
        </is>
      </c>
    </row>
    <row r="97" ht="60" customFormat="1" customHeight="1" s="16">
      <c r="A97" s="107" t="inlineStr">
        <is>
          <t>Places Photo</t>
        </is>
      </c>
      <c r="B97" s="9" t="inlineStr">
        <is>
          <t>Enterprise</t>
        </is>
      </c>
      <c r="C97" s="9" t="n">
        <v>1000</v>
      </c>
      <c r="D97" s="108" t="n">
        <v>7</v>
      </c>
      <c r="E97" s="108" t="n">
        <v>5.6</v>
      </c>
      <c r="F97" s="109" t="n">
        <v>4.2</v>
      </c>
      <c r="G97" s="109" t="n">
        <v>2.1</v>
      </c>
      <c r="H97" s="109" t="n">
        <v>0.53</v>
      </c>
      <c r="I97" s="108" t="inlineStr">
        <is>
          <t>별도문의</t>
        </is>
      </c>
    </row>
    <row r="98" ht="60" customHeight="1" s="85">
      <c r="A98" s="12" t="n"/>
      <c r="B98" s="12" t="n"/>
      <c r="C98" s="12" t="n"/>
      <c r="D98" s="12" t="n"/>
      <c r="E98" s="12" t="n"/>
      <c r="F98" s="12" t="n"/>
      <c r="G98" s="12" t="n"/>
      <c r="H98" s="17" t="n"/>
      <c r="I98" s="17" t="n"/>
    </row>
    <row r="99" ht="60" customHeight="1" s="85">
      <c r="A99" s="12" t="n"/>
      <c r="B99" s="12" t="n"/>
      <c r="C99" s="12" t="n"/>
      <c r="D99" s="12" t="n"/>
      <c r="E99" s="12" t="n"/>
      <c r="F99" s="12" t="n"/>
      <c r="G99" s="12" t="n"/>
      <c r="H99" s="17" t="n"/>
      <c r="I99" s="17" t="n"/>
    </row>
    <row r="100" ht="101.5" customFormat="1" customHeight="1" s="20">
      <c r="A100" s="13" t="inlineStr">
        <is>
          <t>Routes - Legacy³</t>
        </is>
      </c>
      <c r="B100" s="19" t="n"/>
      <c r="C100" s="19" t="n"/>
      <c r="D100" s="19" t="n"/>
      <c r="E100" s="19" t="n"/>
      <c r="F100" s="19" t="n"/>
      <c r="G100" s="19" t="n"/>
      <c r="H100" s="19" t="n"/>
      <c r="I100" s="19" t="n"/>
    </row>
    <row r="101" ht="60" customFormat="1" customHeight="1" s="16">
      <c r="A101" s="6" t="n"/>
      <c r="B101" s="6" t="n"/>
      <c r="C101" s="6" t="n"/>
      <c r="D101" s="7" t="inlineStr">
        <is>
          <t>COST PER THOUSAND (CPM)</t>
        </is>
      </c>
      <c r="E101" s="95" t="n"/>
      <c r="F101" s="95" t="n"/>
      <c r="G101" s="95" t="n"/>
      <c r="H101" s="95" t="n"/>
      <c r="I101" s="86" t="n"/>
    </row>
    <row r="102" ht="206" customFormat="1" customHeight="1" s="16">
      <c r="A102" s="6" t="inlineStr">
        <is>
          <t>Monthly volume range</t>
        </is>
      </c>
      <c r="B102" s="7" t="inlineStr">
        <is>
          <t xml:space="preserve">Category </t>
        </is>
      </c>
      <c r="C102" s="6" t="inlineStr">
        <is>
          <t>Free Usage Cap¹</t>
        </is>
      </c>
      <c r="D102" s="6" t="inlineStr">
        <is>
          <t>Free usage cap  
to 
100,000</t>
        </is>
      </c>
      <c r="E102" s="6" t="inlineStr">
        <is>
          <t>100,001
to
500,000</t>
        </is>
      </c>
      <c r="F102" s="6" t="inlineStr">
        <is>
          <t>500,001
to
1,000,000</t>
        </is>
      </c>
      <c r="G102" s="6" t="inlineStr">
        <is>
          <t>1,000,001
to
5,000,000</t>
        </is>
      </c>
      <c r="H102" s="6" t="inlineStr">
        <is>
          <t xml:space="preserve">5,000,001
to
10,000,000 </t>
        </is>
      </c>
      <c r="I102" s="6" t="inlineStr">
        <is>
          <t>10,000,000 +</t>
        </is>
      </c>
    </row>
    <row r="103" ht="60" customFormat="1" customHeight="1" s="16">
      <c r="A103" s="107" t="inlineStr">
        <is>
          <t>Directions</t>
        </is>
      </c>
      <c r="B103" s="9" t="inlineStr">
        <is>
          <t>Essentials</t>
        </is>
      </c>
      <c r="C103" s="9" t="n">
        <v>10000</v>
      </c>
      <c r="D103" s="108" t="n">
        <v>5</v>
      </c>
      <c r="E103" s="108" t="n">
        <v>4</v>
      </c>
      <c r="F103" s="109" t="n">
        <v>3</v>
      </c>
      <c r="G103" s="109" t="n">
        <v>1.5</v>
      </c>
      <c r="H103" s="109" t="n">
        <v>0.38</v>
      </c>
      <c r="I103" s="108" t="inlineStr">
        <is>
          <t>별도문의</t>
        </is>
      </c>
    </row>
    <row r="104" ht="60" customFormat="1" customHeight="1" s="16">
      <c r="A104" s="107" t="inlineStr">
        <is>
          <t>Distance Matrix</t>
        </is>
      </c>
      <c r="B104" s="9" t="inlineStr">
        <is>
          <t>Essentials</t>
        </is>
      </c>
      <c r="C104" s="9" t="n">
        <v>10000</v>
      </c>
      <c r="D104" s="108" t="n">
        <v>5</v>
      </c>
      <c r="E104" s="108" t="n">
        <v>4</v>
      </c>
      <c r="F104" s="109" t="n">
        <v>3</v>
      </c>
      <c r="G104" s="109" t="n">
        <v>1.5</v>
      </c>
      <c r="H104" s="109" t="n">
        <v>0.38</v>
      </c>
      <c r="I104" s="108" t="inlineStr">
        <is>
          <t>별도문의</t>
        </is>
      </c>
    </row>
    <row r="105" ht="60" customFormat="1" customHeight="1" s="16">
      <c r="A105" s="107" t="inlineStr">
        <is>
          <t>Directions Advanced</t>
        </is>
      </c>
      <c r="B105" s="9" t="inlineStr">
        <is>
          <t xml:space="preserve">Pro </t>
        </is>
      </c>
      <c r="C105" s="9" t="n">
        <v>5000</v>
      </c>
      <c r="D105" s="108" t="n">
        <v>10</v>
      </c>
      <c r="E105" s="108" t="n">
        <v>8</v>
      </c>
      <c r="F105" s="109" t="n">
        <v>6</v>
      </c>
      <c r="G105" s="109" t="n">
        <v>3</v>
      </c>
      <c r="H105" s="109" t="n">
        <v>0.75</v>
      </c>
      <c r="I105" s="108" t="inlineStr">
        <is>
          <t>별도문의</t>
        </is>
      </c>
    </row>
    <row r="106" ht="60" customFormat="1" customHeight="1" s="16">
      <c r="A106" s="107" t="inlineStr">
        <is>
          <t>Distance Matrix Advanced</t>
        </is>
      </c>
      <c r="B106" s="9" t="inlineStr">
        <is>
          <t xml:space="preserve">Pro </t>
        </is>
      </c>
      <c r="C106" s="9" t="n">
        <v>5000</v>
      </c>
      <c r="D106" s="108" t="n">
        <v>10</v>
      </c>
      <c r="E106" s="108" t="n">
        <v>8</v>
      </c>
      <c r="F106" s="109" t="n">
        <v>6</v>
      </c>
      <c r="G106" s="109" t="n">
        <v>3</v>
      </c>
      <c r="H106" s="109" t="n">
        <v>0.75</v>
      </c>
      <c r="I106" s="108" t="inlineStr">
        <is>
          <t>별도문의</t>
        </is>
      </c>
    </row>
    <row r="107" ht="60" customHeight="1" s="85">
      <c r="A107" s="30" t="n"/>
      <c r="B107" s="31" t="n"/>
      <c r="C107" s="31" t="n"/>
      <c r="D107" s="31" t="n"/>
      <c r="E107" s="31" t="n"/>
      <c r="F107" s="31" t="n"/>
      <c r="G107" s="31" t="n"/>
      <c r="H107" s="32" t="n"/>
      <c r="I107" s="32" t="n"/>
    </row>
    <row r="108" ht="13.25" customHeight="1" s="85">
      <c r="A108" s="83" t="inlineStr">
        <is>
          <t xml:space="preserve">
¹ Free usage refers to monthly billable events available at no cost                                                    
² Limited access   
³ Effective March 1, 2025, you can no longer enable Legacy services
⁴ This SKU will show up as $0 on the bill, but you will be charged a Places Details API call and incur cost under that SKU   
⁵ Places Data SKUs are always charged in addition to the base SKU for the request triggering them</t>
        </is>
      </c>
    </row>
    <row r="109" ht="17" customHeight="1" s="85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</row>
    <row r="110" ht="17" customHeight="1" s="85">
      <c r="A110" s="35" t="n"/>
      <c r="B110" s="35" t="n"/>
      <c r="C110" s="35" t="n"/>
      <c r="D110" s="117" t="n"/>
      <c r="E110" s="117" t="n"/>
      <c r="F110" s="117" t="n"/>
      <c r="G110" s="117" t="n"/>
      <c r="H110" s="117" t="n"/>
      <c r="I110" s="117" t="n"/>
    </row>
    <row r="111" ht="17" customHeight="1" s="85">
      <c r="A111" s="34" t="n"/>
      <c r="B111" s="34" t="n"/>
      <c r="C111" s="34" t="n"/>
      <c r="D111" s="34" t="n"/>
      <c r="E111" s="34" t="n"/>
      <c r="F111" s="34" t="n"/>
      <c r="G111" s="34" t="n"/>
      <c r="H111" s="37" t="n"/>
      <c r="I111" s="37" t="n"/>
    </row>
    <row r="112" ht="13.25" customHeight="1" s="85">
      <c r="A112" s="83" t="inlineStr">
        <is>
          <t xml:space="preserve">
¹ Free usage refers to monthly billable events available at no cost                                                    
² Limited access   
³ Effective March 1, 2025, you can no longer enable Legacy services
⁴ This SKU will show up as $0 on the bill, but you will be charged a Places Details API call and incur cost under that SKU   
⁵ Places Data SKUs are always charged in addition to the base SKU for the request triggering them</t>
        </is>
      </c>
    </row>
    <row r="113" ht="17" customHeight="1" s="85">
      <c r="A113" s="83" t="n"/>
      <c r="B113" s="83" t="n"/>
      <c r="C113" s="83" t="n"/>
      <c r="D113" s="83" t="n"/>
      <c r="E113" s="83" t="n"/>
      <c r="F113" s="83" t="n"/>
      <c r="G113" s="83" t="n"/>
      <c r="H113" s="83" t="n"/>
      <c r="I113" s="83" t="n"/>
    </row>
  </sheetData>
  <mergeCells count="10">
    <mergeCell ref="D81:I81"/>
    <mergeCell ref="D28:I28"/>
    <mergeCell ref="D22:I22"/>
    <mergeCell ref="D17:I17"/>
    <mergeCell ref="A112:H112"/>
    <mergeCell ref="A108:H108"/>
    <mergeCell ref="D3:I3"/>
    <mergeCell ref="D101:I101"/>
    <mergeCell ref="D72:I72"/>
    <mergeCell ref="D47:I4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혜윤 심</dc:creator>
  <dcterms:created xsi:type="dcterms:W3CDTF">2025-03-11T06:13:13Z</dcterms:created>
  <dcterms:modified xsi:type="dcterms:W3CDTF">2026-04-16T01:44:18Z</dcterms:modified>
  <cp:lastModifiedBy>에스피에이치 SPH</cp:lastModifiedBy>
  <cp:lastPrinted>2025-04-01T07:13:02Z</cp:lastPrinted>
</cp:coreProperties>
</file>