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회사\12.구글데이터정산\4월데이터\"/>
    </mc:Choice>
  </mc:AlternateContent>
  <xr:revisionPtr revIDLastSave="0" documentId="13_ncr:1_{33BED301-EE5F-4267-8785-63F47FD152E5}" xr6:coauthVersionLast="47" xr6:coauthVersionMax="47" xr10:uidLastSave="{00000000-0000-0000-0000-000000000000}"/>
  <bookViews>
    <workbookView xWindow="-110" yWindow="-110" windowWidth="25820" windowHeight="15500" xr2:uid="{7C907DC3-C1D1-4C79-94C3-32F281172643}"/>
  </bookViews>
  <sheets>
    <sheet name="2025.SPH.update" sheetId="6" r:id="rId1"/>
  </sheets>
  <definedNames>
    <definedName name="_xlnm.Print_Area" localSheetId="0">'2025.SPH.update'!$A$1:$J$107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0" i="6" l="1"/>
  <c r="F90" i="6"/>
  <c r="G90" i="6"/>
  <c r="H90" i="6"/>
  <c r="D90" i="6"/>
  <c r="D75" i="6"/>
  <c r="E75" i="6"/>
  <c r="F75" i="6"/>
  <c r="G75" i="6"/>
  <c r="H75" i="6"/>
  <c r="D76" i="6"/>
  <c r="E76" i="6"/>
  <c r="F76" i="6"/>
  <c r="G76" i="6"/>
  <c r="H76" i="6"/>
  <c r="D77" i="6"/>
  <c r="E77" i="6"/>
  <c r="F77" i="6"/>
  <c r="G77" i="6"/>
  <c r="H77" i="6"/>
  <c r="E74" i="6"/>
  <c r="F74" i="6"/>
  <c r="G74" i="6"/>
  <c r="H74" i="6"/>
  <c r="D74" i="6"/>
  <c r="E43" i="6"/>
  <c r="F43" i="6"/>
  <c r="D43" i="6"/>
  <c r="E24" i="6"/>
  <c r="F24" i="6"/>
  <c r="G24" i="6"/>
  <c r="H24" i="6"/>
  <c r="D24" i="6"/>
  <c r="D20" i="6"/>
  <c r="E20" i="6"/>
  <c r="F20" i="6"/>
  <c r="G20" i="6"/>
  <c r="H20" i="6"/>
  <c r="E19" i="6"/>
  <c r="F19" i="6"/>
  <c r="G19" i="6"/>
  <c r="H19" i="6"/>
  <c r="D19" i="6"/>
</calcChain>
</file>

<file path=xl/sharedStrings.xml><?xml version="1.0" encoding="utf-8"?>
<sst xmlns="http://schemas.openxmlformats.org/spreadsheetml/2006/main" count="304" uniqueCount="97">
  <si>
    <t>Autocomplete Requests</t>
  </si>
  <si>
    <t>Autocomplete Session Usage</t>
  </si>
  <si>
    <t>Maps</t>
  </si>
  <si>
    <t>COST PER THOUSAND (CPM)</t>
    <phoneticPr fontId="6" type="noConversion"/>
  </si>
  <si>
    <t>Monthly volume range</t>
  </si>
  <si>
    <t xml:space="preserve">Category </t>
  </si>
  <si>
    <t>Free Usage Cap¹</t>
  </si>
  <si>
    <t>Free usage cap  
to 
100,000</t>
  </si>
  <si>
    <t>100,001
to
500,000</t>
  </si>
  <si>
    <t>500,001
to
1,000,000</t>
  </si>
  <si>
    <t>1,000,001
to
5,000,000</t>
  </si>
  <si>
    <t xml:space="preserve">5,000,001
to
10,000,000 </t>
    <phoneticPr fontId="6" type="noConversion"/>
  </si>
  <si>
    <t>10,000,000 +</t>
    <phoneticPr fontId="6" type="noConversion"/>
  </si>
  <si>
    <t>Embed</t>
  </si>
  <si>
    <t>Essentials</t>
  </si>
  <si>
    <t xml:space="preserve">Unlimited </t>
  </si>
  <si>
    <t>별도문의</t>
    <phoneticPr fontId="6" type="noConversion"/>
  </si>
  <si>
    <t>Maps SDK</t>
  </si>
  <si>
    <t>Street View Metadata</t>
  </si>
  <si>
    <t>Dynamic Maps</t>
  </si>
  <si>
    <t>Static Maps</t>
  </si>
  <si>
    <t>Static Street View</t>
  </si>
  <si>
    <t xml:space="preserve">Aerial View </t>
  </si>
  <si>
    <t xml:space="preserve">Pro </t>
  </si>
  <si>
    <t>Dynamic Street View</t>
  </si>
  <si>
    <t>Elevation</t>
  </si>
  <si>
    <t>Map Tiles</t>
  </si>
  <si>
    <t>Free usage cap
to
1,000,000</t>
    <phoneticPr fontId="6" type="noConversion"/>
  </si>
  <si>
    <t>1,000,001
to
5,000,000</t>
    <phoneticPr fontId="6" type="noConversion"/>
  </si>
  <si>
    <t>5,000,001
to
10,000,000</t>
    <phoneticPr fontId="6" type="noConversion"/>
  </si>
  <si>
    <t>10,000,001
to
50,000,000</t>
    <phoneticPr fontId="6" type="noConversion"/>
  </si>
  <si>
    <t>Map Tiles API: 2D Map Tiles</t>
  </si>
  <si>
    <t>Map Tiles API: Street View Tiles</t>
  </si>
  <si>
    <t>Map Tiles API: Photorealistic 3D Tiles</t>
  </si>
  <si>
    <t>Enterprise</t>
  </si>
  <si>
    <t>Routes</t>
  </si>
  <si>
    <t xml:space="preserve">Routes: Compute Route Matrix Essentials </t>
  </si>
  <si>
    <t xml:space="preserve">Routes: Compute Routes Essentials </t>
  </si>
  <si>
    <t>Roads - Nearest Road</t>
  </si>
  <si>
    <t>Roads - Route Traveled</t>
  </si>
  <si>
    <t>Roads - Speed Limits</t>
    <phoneticPr fontId="6" type="noConversion"/>
  </si>
  <si>
    <t>RouteOptimization - SingleVehicleRouting</t>
  </si>
  <si>
    <t xml:space="preserve">Routes: Compute Route Matrix Pro </t>
  </si>
  <si>
    <t>Routes: Compute Routes Pro</t>
  </si>
  <si>
    <t>RouteOptimization - FleetRouting</t>
  </si>
  <si>
    <t xml:space="preserve">Routes: Compute Route Matrix Enterprise </t>
  </si>
  <si>
    <t xml:space="preserve">Routes: Compute Routes Enterprise </t>
  </si>
  <si>
    <t>Free usage cap  
to
4,200,000 destinations</t>
  </si>
  <si>
    <t>4,200,000
to
16,800,000 destinations</t>
  </si>
  <si>
    <t>16,800,000 +</t>
    <phoneticPr fontId="6" type="noConversion"/>
  </si>
  <si>
    <t>Navigation Request</t>
  </si>
  <si>
    <t>Places</t>
  </si>
  <si>
    <t>Places API Place Details Essentials (IDs Only)</t>
  </si>
  <si>
    <t>Places API Text Search Essentials (IDs Only)</t>
  </si>
  <si>
    <t>Geocoding</t>
  </si>
  <si>
    <t>Geolocation</t>
  </si>
  <si>
    <t>Places API Place Details Essentials</t>
  </si>
  <si>
    <t>Time Zone</t>
  </si>
  <si>
    <t>Address Validation Pro</t>
  </si>
  <si>
    <t>Places API Nearby Search Pro</t>
  </si>
  <si>
    <t xml:space="preserve">Places API Place Details Pro </t>
  </si>
  <si>
    <t>Places API Text Search Pro</t>
  </si>
  <si>
    <t xml:space="preserve">Address Validation Enterprise </t>
  </si>
  <si>
    <t xml:space="preserve">Places API Nearby Search Enterprise </t>
  </si>
  <si>
    <t xml:space="preserve">Places API Nearby Search Enterprise + Atmosphere </t>
  </si>
  <si>
    <t xml:space="preserve">Places API Place Details Enterprise </t>
  </si>
  <si>
    <t xml:space="preserve">Places API Place Details Enterprise + Atmosphere </t>
  </si>
  <si>
    <t xml:space="preserve">Places API Place Details Photos </t>
  </si>
  <si>
    <t xml:space="preserve">Places API Text Search Enterprise </t>
  </si>
  <si>
    <t xml:space="preserve">Places API Text Search Enterprise + Atmosphere </t>
  </si>
  <si>
    <t>Environment</t>
  </si>
  <si>
    <t>Air Quality Usage</t>
  </si>
  <si>
    <t>Solar API Building Insights</t>
  </si>
  <si>
    <t>Pollen Usage</t>
  </si>
  <si>
    <t>Solar API Data Layers</t>
  </si>
  <si>
    <t>Places API - Legacy</t>
    <phoneticPr fontId="6" type="noConversion"/>
  </si>
  <si>
    <t>Autocomplete (included with Places Details) - Per Session</t>
    <phoneticPr fontId="6" type="noConversion"/>
  </si>
  <si>
    <t>Basic Data</t>
    <phoneticPr fontId="6" type="noConversion"/>
  </si>
  <si>
    <t>Find Place - ID only</t>
  </si>
  <si>
    <t>Places Details - ID Refresh</t>
  </si>
  <si>
    <t>Autocomplete - Per Request</t>
  </si>
  <si>
    <t>Query Autocomplete - Per Request</t>
  </si>
  <si>
    <t>Autocomplete without Places Details - Per Session</t>
  </si>
  <si>
    <t>Find Current Place</t>
  </si>
  <si>
    <t>Find Place</t>
  </si>
  <si>
    <t>Places - Nearby Search</t>
  </si>
  <si>
    <t>Places - Text Search</t>
  </si>
  <si>
    <t>Places Details</t>
  </si>
  <si>
    <t>Atmosphere Data</t>
    <phoneticPr fontId="6" type="noConversion"/>
  </si>
  <si>
    <t>Contact Data</t>
    <phoneticPr fontId="6" type="noConversion"/>
  </si>
  <si>
    <t>Places Photo</t>
  </si>
  <si>
    <t>Routes - Legacy</t>
    <phoneticPr fontId="6" type="noConversion"/>
  </si>
  <si>
    <t>Directions</t>
  </si>
  <si>
    <t>Distance Matrix</t>
  </si>
  <si>
    <t>Directions Advanced</t>
  </si>
  <si>
    <t>Distance Matrix Advanced</t>
  </si>
  <si>
    <r>
      <rPr>
        <sz val="10"/>
        <rFont val="Roboto"/>
      </rPr>
      <t xml:space="preserve">
</t>
    </r>
    <r>
      <rPr>
        <sz val="12"/>
        <rFont val="Roboto"/>
      </rPr>
      <t>¹</t>
    </r>
    <r>
      <rPr>
        <sz val="10"/>
        <rFont val="Roboto"/>
      </rPr>
      <t xml:space="preserve"> Free usage refers to monthly billable events available at no cost                                                    
</t>
    </r>
    <r>
      <rPr>
        <sz val="12"/>
        <rFont val="Roboto"/>
      </rPr>
      <t>²</t>
    </r>
    <r>
      <rPr>
        <sz val="10"/>
        <rFont val="Roboto"/>
      </rPr>
      <t xml:space="preserve"> Limited access   
</t>
    </r>
    <r>
      <rPr>
        <sz val="12"/>
        <rFont val="Roboto"/>
      </rPr>
      <t>³</t>
    </r>
    <r>
      <rPr>
        <sz val="10"/>
        <rFont val="Roboto"/>
      </rPr>
      <t xml:space="preserve"> Effective March 1, 2025, you can no longer enable Legacy services
</t>
    </r>
    <r>
      <rPr>
        <sz val="12"/>
        <rFont val="Roboto"/>
      </rPr>
      <t>⁴</t>
    </r>
    <r>
      <rPr>
        <sz val="10"/>
        <rFont val="Roboto"/>
      </rPr>
      <t xml:space="preserve"> This SKU will show up as $0 on the bill, but you will be charged a Places Details API call and incur cost under that SKU   
</t>
    </r>
    <r>
      <rPr>
        <sz val="12"/>
        <rFont val="Roboto"/>
      </rPr>
      <t>⁵</t>
    </r>
    <r>
      <rPr>
        <sz val="10"/>
        <rFont val="Roboto"/>
      </rPr>
      <t xml:space="preserve"> Places Data SKUs are always charged in addition to the base SKU for the request triggering them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</si>
</sst>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$&quot;#,##0.00"/>
    <numFmt numFmtId="177" formatCode="&quot;₩&quot;#,##0"/>
    <numFmt numFmtId="178" formatCode="&quot;$&quot;#,##0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name val="맑은 고딕"/>
      <family val="3"/>
      <charset val="129"/>
      <scheme val="minor"/>
    </font>
    <font>
      <b/>
      <sz val="72"/>
      <color rgb="FF4A5960"/>
      <name val="맑은 고딕"/>
      <family val="3"/>
      <charset val="129"/>
      <scheme val="minor"/>
    </font>
    <font>
      <sz val="36"/>
      <color rgb="FFFFFFFF"/>
      <name val="맑은 고딕"/>
      <family val="3"/>
      <charset val="129"/>
      <scheme val="minor"/>
    </font>
    <font>
      <sz val="8"/>
      <name val="돋움"/>
      <family val="3"/>
      <charset val="129"/>
    </font>
    <font>
      <sz val="36"/>
      <color rgb="FF212121"/>
      <name val="맑은 고딕"/>
      <family val="3"/>
      <charset val="129"/>
      <scheme val="minor"/>
    </font>
    <font>
      <sz val="36"/>
      <name val="맑은 고딕"/>
      <family val="3"/>
      <charset val="129"/>
      <scheme val="minor"/>
    </font>
    <font>
      <sz val="36"/>
      <color rgb="FF000000"/>
      <name val="맑은 고딕"/>
      <family val="3"/>
      <charset val="129"/>
      <scheme val="minor"/>
    </font>
    <font>
      <sz val="36"/>
      <color rgb="FF000000"/>
      <name val="Arial"/>
      <family val="2"/>
    </font>
    <font>
      <sz val="8"/>
      <name val="맑은 고딕"/>
      <family val="3"/>
      <charset val="129"/>
      <scheme val="minor"/>
    </font>
    <font>
      <sz val="72"/>
      <name val="맑은 고딕"/>
      <family val="3"/>
      <charset val="129"/>
      <scheme val="minor"/>
    </font>
    <font>
      <sz val="72"/>
      <color rgb="FF000000"/>
      <name val="Arial"/>
      <family val="2"/>
    </font>
    <font>
      <sz val="12"/>
      <color rgb="FFFFFFFF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name val="Roboto"/>
    </font>
    <font>
      <sz val="12"/>
      <name val="Roboto"/>
    </font>
    <font>
      <sz val="10"/>
      <name val="Arial"/>
      <family val="2"/>
    </font>
    <font>
      <sz val="10"/>
      <color rgb="FF000000"/>
      <name val="Roboto"/>
    </font>
    <font>
      <sz val="8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3">
    <xf numFmtId="0" fontId="0" fillId="0" borderId="0" xfId="0">
      <alignment vertical="center"/>
    </xf>
    <xf numFmtId="0" fontId="3" fillId="2" borderId="1" xfId="1" applyFont="1" applyFill="1" applyBorder="1" applyAlignment="1">
      <alignment horizontal="left" vertical="center" wrapText="1"/>
    </xf>
    <xf numFmtId="0" fontId="2" fillId="0" borderId="0" xfId="1" applyAlignment="1">
      <alignment wrapText="1"/>
    </xf>
    <xf numFmtId="0" fontId="4" fillId="0" borderId="2" xfId="1" applyFont="1" applyBorder="1" applyAlignment="1">
      <alignment horizontal="left"/>
    </xf>
    <xf numFmtId="0" fontId="3" fillId="0" borderId="2" xfId="1" applyFont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center" vertical="center" wrapText="1"/>
    </xf>
    <xf numFmtId="176" fontId="7" fillId="2" borderId="3" xfId="1" applyNumberFormat="1" applyFont="1" applyFill="1" applyBorder="1" applyAlignment="1">
      <alignment horizontal="left" vertical="center" wrapText="1"/>
    </xf>
    <xf numFmtId="3" fontId="7" fillId="2" borderId="3" xfId="1" applyNumberFormat="1" applyFont="1" applyFill="1" applyBorder="1" applyAlignment="1">
      <alignment horizontal="center" vertical="center" wrapText="1"/>
    </xf>
    <xf numFmtId="176" fontId="7" fillId="2" borderId="3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0" fontId="10" fillId="0" borderId="0" xfId="1" applyFont="1" applyAlignment="1">
      <alignment wrapText="1"/>
    </xf>
    <xf numFmtId="0" fontId="11" fillId="0" borderId="0" xfId="1" applyFont="1" applyAlignment="1">
      <alignment horizontal="left" vertical="center" wrapText="1"/>
    </xf>
    <xf numFmtId="0" fontId="3" fillId="0" borderId="0" xfId="1" applyFont="1" applyAlignment="1">
      <alignment horizontal="center" vertical="center" wrapText="1"/>
    </xf>
    <xf numFmtId="0" fontId="12" fillId="0" borderId="0" xfId="1" applyFont="1" applyAlignment="1">
      <alignment horizontal="left" vertical="center" wrapText="1"/>
    </xf>
    <xf numFmtId="0" fontId="13" fillId="0" borderId="0" xfId="1" applyFont="1" applyAlignment="1">
      <alignment wrapText="1"/>
    </xf>
    <xf numFmtId="0" fontId="14" fillId="2" borderId="0" xfId="1" applyFont="1" applyFill="1" applyAlignment="1">
      <alignment horizontal="left" vertical="center" wrapText="1"/>
    </xf>
    <xf numFmtId="0" fontId="15" fillId="2" borderId="0" xfId="1" applyFont="1" applyFill="1" applyAlignment="1">
      <alignment horizontal="left" wrapText="1"/>
    </xf>
    <xf numFmtId="0" fontId="5" fillId="0" borderId="0" xfId="1" applyFont="1" applyAlignment="1">
      <alignment horizontal="left" vertical="center" wrapText="1"/>
    </xf>
    <xf numFmtId="0" fontId="8" fillId="2" borderId="0" xfId="1" applyFont="1" applyFill="1" applyAlignment="1">
      <alignment horizontal="left" wrapText="1"/>
    </xf>
    <xf numFmtId="176" fontId="9" fillId="2" borderId="0" xfId="1" applyNumberFormat="1" applyFont="1" applyFill="1" applyAlignment="1">
      <alignment horizontal="left" vertical="center" wrapText="1"/>
    </xf>
    <xf numFmtId="176" fontId="7" fillId="2" borderId="3" xfId="1" applyNumberFormat="1" applyFont="1" applyFill="1" applyBorder="1" applyAlignment="1">
      <alignment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8" xfId="1" applyFont="1" applyBorder="1" applyAlignment="1">
      <alignment horizontal="left" vertical="center" wrapText="1"/>
    </xf>
    <xf numFmtId="0" fontId="11" fillId="0" borderId="8" xfId="1" applyFont="1" applyBorder="1" applyAlignment="1">
      <alignment horizontal="left" vertical="center" wrapText="1"/>
    </xf>
    <xf numFmtId="0" fontId="16" fillId="2" borderId="0" xfId="1" applyFont="1" applyFill="1" applyAlignment="1">
      <alignment horizontal="left" vertical="center" wrapText="1"/>
    </xf>
    <xf numFmtId="0" fontId="16" fillId="0" borderId="0" xfId="1" applyFont="1" applyAlignment="1">
      <alignment horizontal="left" vertical="center" wrapText="1"/>
    </xf>
    <xf numFmtId="0" fontId="18" fillId="0" borderId="0" xfId="1" applyFont="1" applyAlignment="1">
      <alignment horizontal="left" vertical="center" wrapText="1"/>
    </xf>
    <xf numFmtId="176" fontId="19" fillId="2" borderId="0" xfId="1" applyNumberFormat="1" applyFont="1" applyFill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  <xf numFmtId="177" fontId="7" fillId="2" borderId="3" xfId="1" applyNumberFormat="1" applyFont="1" applyFill="1" applyBorder="1" applyAlignment="1">
      <alignment horizontal="right" vertical="center" wrapText="1"/>
    </xf>
    <xf numFmtId="177" fontId="8" fillId="2" borderId="3" xfId="1" applyNumberFormat="1" applyFont="1" applyFill="1" applyBorder="1" applyAlignment="1">
      <alignment horizontal="right" vertical="center" wrapText="1"/>
    </xf>
    <xf numFmtId="177" fontId="9" fillId="0" borderId="3" xfId="1" applyNumberFormat="1" applyFont="1" applyBorder="1" applyAlignment="1">
      <alignment horizontal="right" vertical="center" wrapText="1"/>
    </xf>
    <xf numFmtId="177" fontId="7" fillId="0" borderId="3" xfId="1" applyNumberFormat="1" applyFont="1" applyBorder="1" applyAlignment="1">
      <alignment horizontal="right" vertical="center" wrapText="1"/>
    </xf>
    <xf numFmtId="177" fontId="8" fillId="0" borderId="3" xfId="1" applyNumberFormat="1" applyFont="1" applyBorder="1" applyAlignment="1">
      <alignment horizontal="right" vertical="center" wrapText="1"/>
    </xf>
    <xf numFmtId="177" fontId="9" fillId="2" borderId="3" xfId="1" applyNumberFormat="1" applyFont="1" applyFill="1" applyBorder="1" applyAlignment="1">
      <alignment horizontal="right" vertical="center" wrapText="1"/>
    </xf>
    <xf numFmtId="178" fontId="9" fillId="0" borderId="3" xfId="1" applyNumberFormat="1" applyFont="1" applyBorder="1" applyAlignment="1">
      <alignment horizontal="right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16" fillId="2" borderId="0" xfId="1" applyFont="1" applyFill="1" applyAlignment="1">
      <alignment horizontal="left" vertical="center" wrapText="1"/>
    </xf>
    <xf numFmtId="0" fontId="2" fillId="0" borderId="0" xfId="1" applyAlignment="1">
      <alignment wrapText="1"/>
    </xf>
  </cellXfs>
  <cellStyles count="2">
    <cellStyle name="표준" xfId="0" builtinId="0"/>
    <cellStyle name="표준 5" xfId="1" xr:uid="{C170AB40-3C02-4840-8A22-83C32C293B3D}"/>
  </cellStyles>
  <dxfs count="0"/>
  <tableStyles count="0" defaultTableStyle="TableStyleMedium2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21225</xdr:colOff>
      <xdr:row>0</xdr:row>
      <xdr:rowOff>93344</xdr:rowOff>
    </xdr:from>
    <xdr:ext cx="9644589" cy="133540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6D05760-8C15-4B01-A052-DCE1568538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225" y="93344"/>
          <a:ext cx="9644589" cy="133540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9822-A592-41FD-AF57-9CA9FE4BCDAF}">
  <sheetPr>
    <tabColor rgb="FF9FC5E8"/>
    <outlinePr summaryBelow="0" summaryRight="0"/>
    <pageSetUpPr fitToPage="1"/>
  </sheetPr>
  <dimension ref="A1:AN113"/>
  <sheetViews>
    <sheetView showGridLines="0" tabSelected="1" view="pageBreakPreview" zoomScale="25" zoomScaleNormal="115" zoomScaleSheetLayoutView="25" workbookViewId="0">
      <selection activeCell="F4" sqref="F4"/>
    </sheetView>
  </sheetViews>
  <sheetFormatPr defaultColWidth="11.33203125" defaultRowHeight="12.75" customHeight="1" x14ac:dyDescent="0.25"/>
  <cols>
    <col min="1" max="1" width="167.25" style="2" customWidth="1"/>
    <col min="2" max="9" width="36.75" style="2" customWidth="1"/>
    <col min="10" max="12" width="11.33203125" style="2"/>
    <col min="13" max="13" width="34.5" style="2" bestFit="1" customWidth="1"/>
    <col min="14" max="16384" width="11.33203125" style="2"/>
  </cols>
  <sheetData>
    <row r="1" spans="1:9" ht="162" customHeight="1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101.5" x14ac:dyDescent="2.4">
      <c r="A2" s="3" t="s">
        <v>2</v>
      </c>
      <c r="B2" s="4"/>
      <c r="C2" s="4"/>
      <c r="D2" s="4"/>
      <c r="E2" s="4"/>
      <c r="F2" s="4"/>
      <c r="G2" s="4"/>
      <c r="H2" s="4"/>
      <c r="I2" s="4"/>
    </row>
    <row r="3" spans="1:9" ht="60" customHeight="1" x14ac:dyDescent="0.25">
      <c r="A3" s="5"/>
      <c r="B3" s="5"/>
      <c r="C3" s="5"/>
      <c r="D3" s="38" t="s">
        <v>3</v>
      </c>
      <c r="E3" s="39"/>
      <c r="F3" s="39"/>
      <c r="G3" s="39"/>
      <c r="H3" s="39"/>
      <c r="I3" s="40"/>
    </row>
    <row r="4" spans="1:9" ht="206" x14ac:dyDescent="0.25">
      <c r="A4" s="5" t="s">
        <v>4</v>
      </c>
      <c r="B4" s="6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</row>
    <row r="5" spans="1:9" ht="49.9" customHeight="1" x14ac:dyDescent="0.25">
      <c r="A5" s="7" t="s">
        <v>13</v>
      </c>
      <c r="B5" s="8" t="s">
        <v>14</v>
      </c>
      <c r="C5" s="8" t="s">
        <v>15</v>
      </c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9" t="s">
        <v>16</v>
      </c>
    </row>
    <row r="6" spans="1:9" ht="49.9" customHeight="1" x14ac:dyDescent="0.25">
      <c r="A6" s="7" t="s">
        <v>17</v>
      </c>
      <c r="B6" s="8" t="s">
        <v>14</v>
      </c>
      <c r="C6" s="8" t="s">
        <v>15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9" t="s">
        <v>16</v>
      </c>
    </row>
    <row r="7" spans="1:9" ht="49.9" customHeight="1" x14ac:dyDescent="0.25">
      <c r="A7" s="7" t="s">
        <v>18</v>
      </c>
      <c r="B7" s="8" t="s">
        <v>14</v>
      </c>
      <c r="C7" s="8" t="s">
        <v>15</v>
      </c>
      <c r="D7" s="31">
        <v>0</v>
      </c>
      <c r="E7" s="31">
        <v>0</v>
      </c>
      <c r="F7" s="32">
        <v>0</v>
      </c>
      <c r="G7" s="32">
        <v>0</v>
      </c>
      <c r="H7" s="32">
        <v>0</v>
      </c>
      <c r="I7" s="9" t="s">
        <v>16</v>
      </c>
    </row>
    <row r="8" spans="1:9" ht="49.9" customHeight="1" x14ac:dyDescent="0.25">
      <c r="A8" s="7" t="s">
        <v>19</v>
      </c>
      <c r="B8" s="8" t="s">
        <v>14</v>
      </c>
      <c r="C8" s="8">
        <v>10000</v>
      </c>
      <c r="D8" s="31">
        <v>9000</v>
      </c>
      <c r="E8" s="31">
        <v>7200</v>
      </c>
      <c r="F8" s="32">
        <v>5900</v>
      </c>
      <c r="G8" s="32">
        <v>4500</v>
      </c>
      <c r="H8" s="32">
        <v>2700</v>
      </c>
      <c r="I8" s="9" t="s">
        <v>16</v>
      </c>
    </row>
    <row r="9" spans="1:9" ht="49.9" customHeight="1" x14ac:dyDescent="0.25">
      <c r="A9" s="7" t="s">
        <v>20</v>
      </c>
      <c r="B9" s="8" t="s">
        <v>14</v>
      </c>
      <c r="C9" s="8">
        <v>10000</v>
      </c>
      <c r="D9" s="31">
        <v>2500</v>
      </c>
      <c r="E9" s="31">
        <v>2000</v>
      </c>
      <c r="F9" s="32">
        <v>1700</v>
      </c>
      <c r="G9" s="32">
        <v>1300</v>
      </c>
      <c r="H9" s="32">
        <v>800</v>
      </c>
      <c r="I9" s="9" t="s">
        <v>16</v>
      </c>
    </row>
    <row r="10" spans="1:9" ht="49.9" customHeight="1" x14ac:dyDescent="0.25">
      <c r="A10" s="7" t="s">
        <v>21</v>
      </c>
      <c r="B10" s="8" t="s">
        <v>14</v>
      </c>
      <c r="C10" s="8">
        <v>10000</v>
      </c>
      <c r="D10" s="31">
        <v>9000</v>
      </c>
      <c r="E10" s="31">
        <v>7200</v>
      </c>
      <c r="F10" s="32">
        <v>5900</v>
      </c>
      <c r="G10" s="32">
        <v>4500</v>
      </c>
      <c r="H10" s="32">
        <v>2700</v>
      </c>
      <c r="I10" s="9" t="s">
        <v>16</v>
      </c>
    </row>
    <row r="11" spans="1:9" ht="49.9" customHeight="1" x14ac:dyDescent="0.25">
      <c r="A11" s="7" t="s">
        <v>22</v>
      </c>
      <c r="B11" s="8" t="s">
        <v>23</v>
      </c>
      <c r="C11" s="8">
        <v>5000</v>
      </c>
      <c r="D11" s="31">
        <v>22400</v>
      </c>
      <c r="E11" s="31">
        <v>18000</v>
      </c>
      <c r="F11" s="32">
        <v>13500</v>
      </c>
      <c r="G11" s="32">
        <v>10000</v>
      </c>
      <c r="H11" s="32">
        <v>6000</v>
      </c>
      <c r="I11" s="9" t="s">
        <v>16</v>
      </c>
    </row>
    <row r="12" spans="1:9" ht="49.9" customHeight="1" x14ac:dyDescent="0.25">
      <c r="A12" s="7" t="s">
        <v>24</v>
      </c>
      <c r="B12" s="8" t="s">
        <v>23</v>
      </c>
      <c r="C12" s="8">
        <v>5000</v>
      </c>
      <c r="D12" s="31">
        <v>18000</v>
      </c>
      <c r="E12" s="31">
        <v>14400</v>
      </c>
      <c r="F12" s="32">
        <v>11700</v>
      </c>
      <c r="G12" s="32">
        <v>9000</v>
      </c>
      <c r="H12" s="32">
        <v>5400</v>
      </c>
      <c r="I12" s="9" t="s">
        <v>16</v>
      </c>
    </row>
    <row r="13" spans="1:9" ht="49.9" customHeight="1" x14ac:dyDescent="0.25">
      <c r="A13" s="7" t="s">
        <v>25</v>
      </c>
      <c r="B13" s="8" t="s">
        <v>23</v>
      </c>
      <c r="C13" s="8">
        <v>5000</v>
      </c>
      <c r="D13" s="31">
        <v>6500</v>
      </c>
      <c r="E13" s="31">
        <v>5200</v>
      </c>
      <c r="F13" s="31">
        <v>4300</v>
      </c>
      <c r="G13" s="31">
        <v>3300</v>
      </c>
      <c r="H13" s="31">
        <v>2000</v>
      </c>
      <c r="I13" s="9" t="s">
        <v>16</v>
      </c>
    </row>
    <row r="14" spans="1:9" ht="60" customHeight="1" x14ac:dyDescent="0.25">
      <c r="A14" s="10"/>
      <c r="B14" s="10"/>
      <c r="C14" s="10"/>
      <c r="D14" s="10"/>
      <c r="E14" s="10"/>
      <c r="F14" s="10"/>
      <c r="G14" s="10"/>
      <c r="H14" s="10"/>
      <c r="I14" s="10"/>
    </row>
    <row r="15" spans="1:9" ht="60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101.5" x14ac:dyDescent="0.25">
      <c r="A16" s="11" t="s">
        <v>26</v>
      </c>
      <c r="B16" s="10"/>
      <c r="C16" s="10"/>
      <c r="D16" s="10"/>
      <c r="E16" s="10"/>
      <c r="F16" s="10"/>
      <c r="G16" s="10"/>
      <c r="H16" s="10"/>
      <c r="I16" s="10"/>
    </row>
    <row r="17" spans="1:35" ht="60" customHeight="1" x14ac:dyDescent="0.25">
      <c r="A17" s="5"/>
      <c r="B17" s="5"/>
      <c r="C17" s="5"/>
      <c r="D17" s="38" t="s">
        <v>3</v>
      </c>
      <c r="E17" s="39"/>
      <c r="F17" s="39"/>
      <c r="G17" s="39"/>
      <c r="H17" s="39"/>
      <c r="I17" s="40"/>
    </row>
    <row r="18" spans="1:35" ht="255.65" customHeight="1" x14ac:dyDescent="0.25">
      <c r="A18" s="5" t="s">
        <v>4</v>
      </c>
      <c r="B18" s="6" t="s">
        <v>5</v>
      </c>
      <c r="C18" s="5" t="s">
        <v>6</v>
      </c>
      <c r="D18" s="5" t="s">
        <v>27</v>
      </c>
      <c r="E18" s="5" t="s">
        <v>28</v>
      </c>
      <c r="F18" s="5" t="s">
        <v>29</v>
      </c>
      <c r="G18" s="5" t="s">
        <v>30</v>
      </c>
      <c r="H18" s="5" t="s">
        <v>11</v>
      </c>
      <c r="I18" s="5" t="s">
        <v>12</v>
      </c>
    </row>
    <row r="19" spans="1:35" s="12" customFormat="1" ht="60" customHeight="1" x14ac:dyDescent="0.85">
      <c r="A19" s="7" t="s">
        <v>31</v>
      </c>
      <c r="B19" s="8" t="s">
        <v>14</v>
      </c>
      <c r="C19" s="8">
        <v>100000</v>
      </c>
      <c r="D19" s="33">
        <f>P19*$M$3</f>
        <v>0</v>
      </c>
      <c r="E19" s="33">
        <f t="shared" ref="E19:H19" si="0">Q19*$M$3</f>
        <v>0</v>
      </c>
      <c r="F19" s="33">
        <f t="shared" si="0"/>
        <v>0</v>
      </c>
      <c r="G19" s="33">
        <f t="shared" si="0"/>
        <v>0</v>
      </c>
      <c r="H19" s="33">
        <f t="shared" si="0"/>
        <v>0</v>
      </c>
      <c r="I19" s="9" t="s">
        <v>16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s="12" customFormat="1" ht="60" customHeight="1" x14ac:dyDescent="0.85">
      <c r="A20" s="7" t="s">
        <v>32</v>
      </c>
      <c r="B20" s="8" t="s">
        <v>14</v>
      </c>
      <c r="C20" s="8">
        <v>100000</v>
      </c>
      <c r="D20" s="33">
        <f>P20*$M$3</f>
        <v>0</v>
      </c>
      <c r="E20" s="33">
        <f t="shared" ref="E20" si="1">Q20*$M$3</f>
        <v>0</v>
      </c>
      <c r="F20" s="33">
        <f t="shared" ref="F20" si="2">R20*$M$3</f>
        <v>0</v>
      </c>
      <c r="G20" s="33">
        <f t="shared" ref="G20" si="3">S20*$M$3</f>
        <v>0</v>
      </c>
      <c r="H20" s="33">
        <f t="shared" ref="H20" si="4">T20*$M$3</f>
        <v>0</v>
      </c>
      <c r="I20" s="9" t="s">
        <v>16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40.15" customHeight="1" x14ac:dyDescent="0.25">
      <c r="A21" s="10"/>
      <c r="B21" s="10"/>
      <c r="C21" s="10"/>
      <c r="D21" s="10"/>
      <c r="E21" s="10"/>
      <c r="F21" s="10"/>
      <c r="G21" s="10"/>
      <c r="H21" s="13"/>
      <c r="I21" s="13"/>
    </row>
    <row r="22" spans="1:35" s="12" customFormat="1" ht="60" customHeight="1" x14ac:dyDescent="0.85">
      <c r="A22" s="5"/>
      <c r="B22" s="5"/>
      <c r="C22" s="5"/>
      <c r="D22" s="38" t="s">
        <v>3</v>
      </c>
      <c r="E22" s="39"/>
      <c r="F22" s="39"/>
      <c r="G22" s="39"/>
      <c r="H22" s="39"/>
      <c r="I22" s="4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s="12" customFormat="1" ht="229.15" customHeight="1" x14ac:dyDescent="0.85">
      <c r="A23" s="5" t="s">
        <v>4</v>
      </c>
      <c r="B23" s="6" t="s">
        <v>5</v>
      </c>
      <c r="C23" s="5" t="s">
        <v>6</v>
      </c>
      <c r="D23" s="5" t="s">
        <v>7</v>
      </c>
      <c r="E23" s="5" t="s">
        <v>8</v>
      </c>
      <c r="F23" s="5" t="s">
        <v>9</v>
      </c>
      <c r="G23" s="5" t="s">
        <v>10</v>
      </c>
      <c r="H23" s="5" t="s">
        <v>11</v>
      </c>
      <c r="I23" s="5" t="s">
        <v>12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s="12" customFormat="1" ht="60" customHeight="1" x14ac:dyDescent="0.85">
      <c r="A24" s="7" t="s">
        <v>33</v>
      </c>
      <c r="B24" s="8" t="s">
        <v>34</v>
      </c>
      <c r="C24" s="8">
        <v>1000</v>
      </c>
      <c r="D24" s="33">
        <f>P24*$M$3</f>
        <v>0</v>
      </c>
      <c r="E24" s="33">
        <f t="shared" ref="E24:H24" si="5">Q24*$M$3</f>
        <v>0</v>
      </c>
      <c r="F24" s="33">
        <f t="shared" si="5"/>
        <v>0</v>
      </c>
      <c r="G24" s="33">
        <f t="shared" si="5"/>
        <v>0</v>
      </c>
      <c r="H24" s="33">
        <f t="shared" si="5"/>
        <v>0</v>
      </c>
      <c r="I24" s="9" t="s">
        <v>16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60" customHeight="1" x14ac:dyDescent="0.25">
      <c r="A25" s="10"/>
      <c r="B25" s="14"/>
      <c r="C25" s="14"/>
      <c r="D25" s="14"/>
      <c r="E25" s="14"/>
      <c r="F25" s="14"/>
      <c r="G25" s="14"/>
      <c r="H25" s="14"/>
      <c r="I25" s="14"/>
    </row>
    <row r="26" spans="1:35" ht="60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</row>
    <row r="27" spans="1:35" s="16" customFormat="1" ht="101.5" x14ac:dyDescent="1.75">
      <c r="A27" s="11" t="s">
        <v>35</v>
      </c>
      <c r="B27" s="15"/>
      <c r="C27" s="15"/>
      <c r="D27" s="15"/>
      <c r="E27" s="15"/>
      <c r="F27" s="15"/>
      <c r="G27" s="15"/>
      <c r="H27" s="15"/>
      <c r="I27" s="1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s="12" customFormat="1" ht="60" customHeight="1" x14ac:dyDescent="0.85">
      <c r="A28" s="5"/>
      <c r="B28" s="5"/>
      <c r="C28" s="5"/>
      <c r="D28" s="38" t="s">
        <v>3</v>
      </c>
      <c r="E28" s="39"/>
      <c r="F28" s="39"/>
      <c r="G28" s="39"/>
      <c r="H28" s="39"/>
      <c r="I28" s="4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s="12" customFormat="1" ht="206" x14ac:dyDescent="0.85">
      <c r="A29" s="5" t="s">
        <v>4</v>
      </c>
      <c r="B29" s="6" t="s">
        <v>5</v>
      </c>
      <c r="C29" s="5" t="s">
        <v>6</v>
      </c>
      <c r="D29" s="5" t="s">
        <v>7</v>
      </c>
      <c r="E29" s="5" t="s">
        <v>8</v>
      </c>
      <c r="F29" s="5" t="s">
        <v>9</v>
      </c>
      <c r="G29" s="5" t="s">
        <v>10</v>
      </c>
      <c r="H29" s="5" t="s">
        <v>11</v>
      </c>
      <c r="I29" s="5" t="s">
        <v>12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s="12" customFormat="1" ht="60" customHeight="1" x14ac:dyDescent="0.85">
      <c r="A30" s="7" t="s">
        <v>36</v>
      </c>
      <c r="B30" s="8" t="s">
        <v>14</v>
      </c>
      <c r="C30" s="8">
        <v>10000</v>
      </c>
      <c r="D30" s="34">
        <v>6500</v>
      </c>
      <c r="E30" s="34">
        <v>5200</v>
      </c>
      <c r="F30" s="32">
        <v>4300</v>
      </c>
      <c r="G30" s="32">
        <v>3300</v>
      </c>
      <c r="H30" s="32">
        <v>2000</v>
      </c>
      <c r="I30" s="9" t="s">
        <v>16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s="12" customFormat="1" ht="60" customHeight="1" x14ac:dyDescent="0.85">
      <c r="A31" s="7" t="s">
        <v>37</v>
      </c>
      <c r="B31" s="8" t="s">
        <v>14</v>
      </c>
      <c r="C31" s="8">
        <v>10000</v>
      </c>
      <c r="D31" s="34">
        <v>6500</v>
      </c>
      <c r="E31" s="34">
        <v>5200</v>
      </c>
      <c r="F31" s="32">
        <v>4300</v>
      </c>
      <c r="G31" s="32">
        <v>3300</v>
      </c>
      <c r="H31" s="32">
        <v>2000</v>
      </c>
      <c r="I31" s="9" t="s">
        <v>16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s="12" customFormat="1" ht="60" customHeight="1" x14ac:dyDescent="0.85">
      <c r="A32" s="7" t="s">
        <v>38</v>
      </c>
      <c r="B32" s="8" t="s">
        <v>23</v>
      </c>
      <c r="C32" s="8">
        <v>5000</v>
      </c>
      <c r="D32" s="31">
        <v>13000</v>
      </c>
      <c r="E32" s="31">
        <v>10400</v>
      </c>
      <c r="F32" s="32">
        <v>8500</v>
      </c>
      <c r="G32" s="32">
        <v>6500</v>
      </c>
      <c r="H32" s="32">
        <v>3900</v>
      </c>
      <c r="I32" s="9" t="s">
        <v>16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s="12" customFormat="1" ht="60" customHeight="1" x14ac:dyDescent="0.85">
      <c r="A33" s="7" t="s">
        <v>39</v>
      </c>
      <c r="B33" s="8" t="s">
        <v>23</v>
      </c>
      <c r="C33" s="8">
        <v>5000</v>
      </c>
      <c r="D33" s="31">
        <v>13000</v>
      </c>
      <c r="E33" s="31">
        <v>10400</v>
      </c>
      <c r="F33" s="32">
        <v>8500</v>
      </c>
      <c r="G33" s="32">
        <v>6500</v>
      </c>
      <c r="H33" s="32">
        <v>3900</v>
      </c>
      <c r="I33" s="9" t="s">
        <v>16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s="12" customFormat="1" ht="60" customHeight="1" x14ac:dyDescent="0.85">
      <c r="A34" s="7" t="s">
        <v>40</v>
      </c>
      <c r="B34" s="8" t="s">
        <v>23</v>
      </c>
      <c r="C34" s="8">
        <v>5000</v>
      </c>
      <c r="D34" s="31">
        <v>26000</v>
      </c>
      <c r="E34" s="31">
        <v>20800</v>
      </c>
      <c r="F34" s="32">
        <v>17000</v>
      </c>
      <c r="G34" s="32">
        <v>17000</v>
      </c>
      <c r="H34" s="32">
        <v>17000</v>
      </c>
      <c r="I34" s="9" t="s">
        <v>16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s="12" customFormat="1" ht="60" customHeight="1" x14ac:dyDescent="0.85">
      <c r="A35" s="7" t="s">
        <v>41</v>
      </c>
      <c r="B35" s="8" t="s">
        <v>23</v>
      </c>
      <c r="C35" s="8">
        <v>5000</v>
      </c>
      <c r="D35" s="35">
        <v>13000</v>
      </c>
      <c r="E35" s="35">
        <v>10400</v>
      </c>
      <c r="F35" s="35">
        <v>8500</v>
      </c>
      <c r="G35" s="35">
        <v>6500</v>
      </c>
      <c r="H35" s="35">
        <v>3900</v>
      </c>
      <c r="I35" s="9" t="s">
        <v>16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s="12" customFormat="1" ht="60" customHeight="1" x14ac:dyDescent="0.85">
      <c r="A36" s="7" t="s">
        <v>42</v>
      </c>
      <c r="B36" s="8" t="s">
        <v>23</v>
      </c>
      <c r="C36" s="8">
        <v>5000</v>
      </c>
      <c r="D36" s="34">
        <v>13000</v>
      </c>
      <c r="E36" s="34">
        <v>10400</v>
      </c>
      <c r="F36" s="32">
        <v>8500</v>
      </c>
      <c r="G36" s="32">
        <v>6500</v>
      </c>
      <c r="H36" s="32">
        <v>3900</v>
      </c>
      <c r="I36" s="9" t="s">
        <v>16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s="12" customFormat="1" ht="60" customHeight="1" x14ac:dyDescent="0.85">
      <c r="A37" s="7" t="s">
        <v>43</v>
      </c>
      <c r="B37" s="8" t="s">
        <v>23</v>
      </c>
      <c r="C37" s="8">
        <v>5000</v>
      </c>
      <c r="D37" s="34">
        <v>13000</v>
      </c>
      <c r="E37" s="34">
        <v>10400</v>
      </c>
      <c r="F37" s="32">
        <v>8500</v>
      </c>
      <c r="G37" s="32">
        <v>6500</v>
      </c>
      <c r="H37" s="32">
        <v>3900</v>
      </c>
      <c r="I37" s="9" t="s">
        <v>16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s="12" customFormat="1" ht="60" customHeight="1" x14ac:dyDescent="0.85">
      <c r="A38" s="7" t="s">
        <v>44</v>
      </c>
      <c r="B38" s="8" t="s">
        <v>34</v>
      </c>
      <c r="C38" s="8">
        <v>1000</v>
      </c>
      <c r="D38" s="35">
        <v>39000</v>
      </c>
      <c r="E38" s="35">
        <v>31200</v>
      </c>
      <c r="F38" s="35">
        <v>25600</v>
      </c>
      <c r="G38" s="35">
        <v>19600</v>
      </c>
      <c r="H38" s="35">
        <v>11800</v>
      </c>
      <c r="I38" s="9" t="s">
        <v>16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s="12" customFormat="1" ht="60" customHeight="1" x14ac:dyDescent="0.85">
      <c r="A39" s="7" t="s">
        <v>45</v>
      </c>
      <c r="B39" s="8" t="s">
        <v>34</v>
      </c>
      <c r="C39" s="8">
        <v>1000</v>
      </c>
      <c r="D39" s="33">
        <v>19500</v>
      </c>
      <c r="E39" s="33">
        <v>15600</v>
      </c>
      <c r="F39" s="32">
        <v>12800</v>
      </c>
      <c r="G39" s="32">
        <v>9800</v>
      </c>
      <c r="H39" s="32">
        <v>5900</v>
      </c>
      <c r="I39" s="9" t="s">
        <v>16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s="12" customFormat="1" ht="60" customHeight="1" x14ac:dyDescent="0.85">
      <c r="A40" s="7" t="s">
        <v>46</v>
      </c>
      <c r="B40" s="8" t="s">
        <v>34</v>
      </c>
      <c r="C40" s="8">
        <v>1000</v>
      </c>
      <c r="D40" s="33">
        <v>19500</v>
      </c>
      <c r="E40" s="33">
        <v>15600</v>
      </c>
      <c r="F40" s="32">
        <v>12800</v>
      </c>
      <c r="G40" s="32">
        <v>9800</v>
      </c>
      <c r="H40" s="32">
        <v>5900</v>
      </c>
      <c r="I40" s="9" t="s">
        <v>16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60" customHeight="1" x14ac:dyDescent="0.45">
      <c r="A41" s="17"/>
      <c r="B41" s="17"/>
      <c r="C41" s="17"/>
      <c r="D41" s="17"/>
      <c r="E41" s="17"/>
      <c r="F41" s="17"/>
      <c r="G41" s="17"/>
      <c r="H41" s="18"/>
      <c r="I41" s="18"/>
    </row>
    <row r="42" spans="1:35" s="12" customFormat="1" ht="291.64999999999998" customHeight="1" x14ac:dyDescent="1.25">
      <c r="A42" s="5" t="s">
        <v>4</v>
      </c>
      <c r="B42" s="5"/>
      <c r="C42" s="5" t="s">
        <v>6</v>
      </c>
      <c r="D42" s="5" t="s">
        <v>47</v>
      </c>
      <c r="E42" s="5" t="s">
        <v>48</v>
      </c>
      <c r="F42" s="5" t="s">
        <v>49</v>
      </c>
      <c r="G42" s="19"/>
      <c r="H42" s="20"/>
      <c r="I42" s="20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s="12" customFormat="1" ht="60" customHeight="1" x14ac:dyDescent="1.25">
      <c r="A43" s="7" t="s">
        <v>50</v>
      </c>
      <c r="B43" s="8" t="s">
        <v>34</v>
      </c>
      <c r="C43" s="8">
        <v>1000</v>
      </c>
      <c r="D43" s="36">
        <f>P43*$M$3</f>
        <v>0</v>
      </c>
      <c r="E43" s="36">
        <f t="shared" ref="E43:F43" si="6">Q43*$M$3</f>
        <v>0</v>
      </c>
      <c r="F43" s="36">
        <f t="shared" si="6"/>
        <v>0</v>
      </c>
      <c r="G43" s="21"/>
      <c r="H43" s="20"/>
      <c r="I43" s="20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60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</row>
    <row r="45" spans="1:35" ht="60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</row>
    <row r="46" spans="1:35" s="16" customFormat="1" ht="101.5" x14ac:dyDescent="1.75">
      <c r="A46" s="11" t="s">
        <v>51</v>
      </c>
      <c r="B46" s="15"/>
      <c r="C46" s="15"/>
      <c r="D46" s="15"/>
      <c r="E46" s="15"/>
      <c r="F46" s="15"/>
      <c r="G46" s="15"/>
      <c r="H46" s="15"/>
      <c r="I46" s="1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s="12" customFormat="1" ht="60" customHeight="1" x14ac:dyDescent="0.85">
      <c r="A47" s="5"/>
      <c r="B47" s="5"/>
      <c r="C47" s="5"/>
      <c r="D47" s="38" t="s">
        <v>3</v>
      </c>
      <c r="E47" s="39"/>
      <c r="F47" s="39"/>
      <c r="G47" s="39"/>
      <c r="H47" s="39"/>
      <c r="I47" s="40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s="12" customFormat="1" ht="206" x14ac:dyDescent="0.85">
      <c r="A48" s="5" t="s">
        <v>4</v>
      </c>
      <c r="B48" s="6" t="s">
        <v>5</v>
      </c>
      <c r="C48" s="5" t="s">
        <v>6</v>
      </c>
      <c r="D48" s="5" t="s">
        <v>7</v>
      </c>
      <c r="E48" s="5" t="s">
        <v>8</v>
      </c>
      <c r="F48" s="5" t="s">
        <v>9</v>
      </c>
      <c r="G48" s="5" t="s">
        <v>10</v>
      </c>
      <c r="H48" s="5" t="s">
        <v>11</v>
      </c>
      <c r="I48" s="5" t="s">
        <v>12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s="12" customFormat="1" ht="60" customHeight="1" x14ac:dyDescent="0.85">
      <c r="A49" s="7" t="s">
        <v>1</v>
      </c>
      <c r="B49" s="8" t="s">
        <v>14</v>
      </c>
      <c r="C49" s="8" t="s">
        <v>15</v>
      </c>
      <c r="D49" s="36">
        <v>0</v>
      </c>
      <c r="E49" s="36">
        <v>0</v>
      </c>
      <c r="F49" s="36">
        <v>0</v>
      </c>
      <c r="G49" s="36">
        <v>0</v>
      </c>
      <c r="H49" s="36">
        <v>0</v>
      </c>
      <c r="I49" s="9" t="s">
        <v>16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s="12" customFormat="1" ht="60" customHeight="1" x14ac:dyDescent="0.85">
      <c r="A50" s="7" t="s">
        <v>52</v>
      </c>
      <c r="B50" s="8" t="s">
        <v>14</v>
      </c>
      <c r="C50" s="8" t="s">
        <v>15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9" t="s">
        <v>16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s="12" customFormat="1" ht="60" customHeight="1" x14ac:dyDescent="0.85">
      <c r="A51" s="7" t="s">
        <v>53</v>
      </c>
      <c r="B51" s="8" t="s">
        <v>14</v>
      </c>
      <c r="C51" s="8" t="s">
        <v>15</v>
      </c>
      <c r="D51" s="33">
        <v>0</v>
      </c>
      <c r="E51" s="33">
        <v>0</v>
      </c>
      <c r="F51" s="33">
        <v>0</v>
      </c>
      <c r="G51" s="33">
        <v>0</v>
      </c>
      <c r="H51" s="33">
        <v>0</v>
      </c>
      <c r="I51" s="9" t="s">
        <v>16</v>
      </c>
    </row>
    <row r="52" spans="1:35" s="12" customFormat="1" ht="60" customHeight="1" x14ac:dyDescent="0.85">
      <c r="A52" s="7" t="s">
        <v>0</v>
      </c>
      <c r="B52" s="8" t="s">
        <v>14</v>
      </c>
      <c r="C52" s="8">
        <v>10000</v>
      </c>
      <c r="D52" s="31">
        <v>3700</v>
      </c>
      <c r="E52" s="31">
        <v>3000</v>
      </c>
      <c r="F52" s="36">
        <v>2500</v>
      </c>
      <c r="G52" s="36">
        <v>1900</v>
      </c>
      <c r="H52" s="36">
        <v>1200</v>
      </c>
      <c r="I52" s="9" t="s">
        <v>16</v>
      </c>
    </row>
    <row r="53" spans="1:35" s="12" customFormat="1" ht="60" customHeight="1" x14ac:dyDescent="0.85">
      <c r="A53" s="7" t="s">
        <v>54</v>
      </c>
      <c r="B53" s="8" t="s">
        <v>14</v>
      </c>
      <c r="C53" s="8">
        <v>10000</v>
      </c>
      <c r="D53" s="31">
        <v>6500</v>
      </c>
      <c r="E53" s="31">
        <v>5200</v>
      </c>
      <c r="F53" s="32">
        <v>4300</v>
      </c>
      <c r="G53" s="32">
        <v>3300</v>
      </c>
      <c r="H53" s="32">
        <v>2000</v>
      </c>
      <c r="I53" s="9" t="s">
        <v>16</v>
      </c>
    </row>
    <row r="54" spans="1:35" s="12" customFormat="1" ht="60" customHeight="1" x14ac:dyDescent="0.85">
      <c r="A54" s="7" t="s">
        <v>55</v>
      </c>
      <c r="B54" s="8" t="s">
        <v>14</v>
      </c>
      <c r="C54" s="8">
        <v>10000</v>
      </c>
      <c r="D54" s="31">
        <v>6500</v>
      </c>
      <c r="E54" s="31">
        <v>5200</v>
      </c>
      <c r="F54" s="32">
        <v>4300</v>
      </c>
      <c r="G54" s="32">
        <v>3300</v>
      </c>
      <c r="H54" s="32">
        <v>2000</v>
      </c>
      <c r="I54" s="9" t="s">
        <v>16</v>
      </c>
    </row>
    <row r="55" spans="1:35" s="12" customFormat="1" ht="60" customHeight="1" x14ac:dyDescent="0.85">
      <c r="A55" s="7" t="s">
        <v>56</v>
      </c>
      <c r="B55" s="8" t="s">
        <v>14</v>
      </c>
      <c r="C55" s="8">
        <v>10000</v>
      </c>
      <c r="D55" s="31">
        <v>6500</v>
      </c>
      <c r="E55" s="31">
        <v>5200</v>
      </c>
      <c r="F55" s="32">
        <v>4300</v>
      </c>
      <c r="G55" s="32">
        <v>3300</v>
      </c>
      <c r="H55" s="32">
        <v>2000</v>
      </c>
      <c r="I55" s="9" t="s">
        <v>16</v>
      </c>
    </row>
    <row r="56" spans="1:35" s="12" customFormat="1" ht="60" customHeight="1" x14ac:dyDescent="0.85">
      <c r="A56" s="22" t="s">
        <v>57</v>
      </c>
      <c r="B56" s="8" t="s">
        <v>14</v>
      </c>
      <c r="C56" s="8">
        <v>10000</v>
      </c>
      <c r="D56" s="31">
        <v>6500</v>
      </c>
      <c r="E56" s="31">
        <v>5200</v>
      </c>
      <c r="F56" s="32">
        <v>4300</v>
      </c>
      <c r="G56" s="32">
        <v>3300</v>
      </c>
      <c r="H56" s="32">
        <v>2000</v>
      </c>
      <c r="I56" s="9" t="s">
        <v>16</v>
      </c>
    </row>
    <row r="57" spans="1:35" s="12" customFormat="1" ht="60" customHeight="1" x14ac:dyDescent="0.85">
      <c r="A57" s="7" t="s">
        <v>58</v>
      </c>
      <c r="B57" s="8" t="s">
        <v>23</v>
      </c>
      <c r="C57" s="8">
        <v>5000</v>
      </c>
      <c r="D57" s="31">
        <v>22100</v>
      </c>
      <c r="E57" s="31">
        <v>17700</v>
      </c>
      <c r="F57" s="36">
        <v>14400</v>
      </c>
      <c r="G57" s="36">
        <v>11100</v>
      </c>
      <c r="H57" s="36">
        <v>6700</v>
      </c>
      <c r="I57" s="9" t="s">
        <v>16</v>
      </c>
    </row>
    <row r="58" spans="1:35" s="12" customFormat="1" ht="60" customHeight="1" x14ac:dyDescent="0.85">
      <c r="A58" s="7" t="s">
        <v>59</v>
      </c>
      <c r="B58" s="8" t="s">
        <v>23</v>
      </c>
      <c r="C58" s="8">
        <v>5000</v>
      </c>
      <c r="D58" s="33">
        <v>41600</v>
      </c>
      <c r="E58" s="33">
        <v>33300</v>
      </c>
      <c r="F58" s="33">
        <v>27000</v>
      </c>
      <c r="G58" s="33">
        <v>20800</v>
      </c>
      <c r="H58" s="33">
        <v>12500</v>
      </c>
      <c r="I58" s="9" t="s">
        <v>16</v>
      </c>
    </row>
    <row r="59" spans="1:35" s="12" customFormat="1" ht="60" customHeight="1" x14ac:dyDescent="0.85">
      <c r="A59" s="7" t="s">
        <v>60</v>
      </c>
      <c r="B59" s="8" t="s">
        <v>23</v>
      </c>
      <c r="C59" s="8">
        <v>5000</v>
      </c>
      <c r="D59" s="31">
        <v>22100</v>
      </c>
      <c r="E59" s="31">
        <v>17700</v>
      </c>
      <c r="F59" s="36">
        <v>14400</v>
      </c>
      <c r="G59" s="36">
        <v>11100</v>
      </c>
      <c r="H59" s="36">
        <v>6700</v>
      </c>
      <c r="I59" s="9" t="s">
        <v>16</v>
      </c>
    </row>
    <row r="60" spans="1:35" s="12" customFormat="1" ht="60" customHeight="1" x14ac:dyDescent="0.85">
      <c r="A60" s="7" t="s">
        <v>61</v>
      </c>
      <c r="B60" s="8" t="s">
        <v>23</v>
      </c>
      <c r="C60" s="8">
        <v>5000</v>
      </c>
      <c r="D60" s="33">
        <v>41600</v>
      </c>
      <c r="E60" s="33">
        <v>33300</v>
      </c>
      <c r="F60" s="33">
        <v>27000</v>
      </c>
      <c r="G60" s="33">
        <v>20800</v>
      </c>
      <c r="H60" s="33">
        <v>12500</v>
      </c>
      <c r="I60" s="9" t="s">
        <v>16</v>
      </c>
    </row>
    <row r="61" spans="1:35" s="12" customFormat="1" ht="60" customHeight="1" x14ac:dyDescent="0.85">
      <c r="A61" s="7" t="s">
        <v>62</v>
      </c>
      <c r="B61" s="8" t="s">
        <v>34</v>
      </c>
      <c r="C61" s="8">
        <v>1000</v>
      </c>
      <c r="D61" s="31">
        <v>32500</v>
      </c>
      <c r="E61" s="31">
        <v>26000</v>
      </c>
      <c r="F61" s="36">
        <v>21200</v>
      </c>
      <c r="G61" s="36">
        <v>16300</v>
      </c>
      <c r="H61" s="36">
        <v>9800</v>
      </c>
      <c r="I61" s="9" t="s">
        <v>16</v>
      </c>
    </row>
    <row r="62" spans="1:35" s="12" customFormat="1" ht="60" customHeight="1" x14ac:dyDescent="0.85">
      <c r="A62" s="7" t="s">
        <v>63</v>
      </c>
      <c r="B62" s="8" t="s">
        <v>34</v>
      </c>
      <c r="C62" s="8">
        <v>1000</v>
      </c>
      <c r="D62" s="33">
        <v>45500</v>
      </c>
      <c r="E62" s="33">
        <v>36400</v>
      </c>
      <c r="F62" s="33">
        <v>29500</v>
      </c>
      <c r="G62" s="33">
        <v>22700</v>
      </c>
      <c r="H62" s="33">
        <v>13600</v>
      </c>
      <c r="I62" s="9" t="s">
        <v>16</v>
      </c>
    </row>
    <row r="63" spans="1:35" s="12" customFormat="1" ht="60" customHeight="1" x14ac:dyDescent="0.85">
      <c r="A63" s="7" t="s">
        <v>64</v>
      </c>
      <c r="B63" s="8" t="s">
        <v>34</v>
      </c>
      <c r="C63" s="8">
        <v>1000</v>
      </c>
      <c r="D63" s="33">
        <v>52000</v>
      </c>
      <c r="E63" s="33">
        <v>41600</v>
      </c>
      <c r="F63" s="33">
        <v>33800</v>
      </c>
      <c r="G63" s="33">
        <v>26000</v>
      </c>
      <c r="H63" s="33">
        <v>15600</v>
      </c>
      <c r="I63" s="9" t="s">
        <v>16</v>
      </c>
    </row>
    <row r="64" spans="1:35" s="12" customFormat="1" ht="60" customHeight="1" x14ac:dyDescent="0.85">
      <c r="A64" s="7" t="s">
        <v>65</v>
      </c>
      <c r="B64" s="8" t="s">
        <v>34</v>
      </c>
      <c r="C64" s="8">
        <v>1000</v>
      </c>
      <c r="D64" s="33">
        <v>26000</v>
      </c>
      <c r="E64" s="33">
        <v>20800</v>
      </c>
      <c r="F64" s="33">
        <v>16900</v>
      </c>
      <c r="G64" s="33">
        <v>13000</v>
      </c>
      <c r="H64" s="33">
        <v>7800</v>
      </c>
      <c r="I64" s="9" t="s">
        <v>16</v>
      </c>
    </row>
    <row r="65" spans="1:40" s="12" customFormat="1" ht="60" customHeight="1" x14ac:dyDescent="0.85">
      <c r="A65" s="7" t="s">
        <v>66</v>
      </c>
      <c r="B65" s="8" t="s">
        <v>34</v>
      </c>
      <c r="C65" s="8">
        <v>1000</v>
      </c>
      <c r="D65" s="33">
        <v>28600</v>
      </c>
      <c r="E65" s="33">
        <v>22900</v>
      </c>
      <c r="F65" s="33">
        <v>18600</v>
      </c>
      <c r="G65" s="33">
        <v>14300</v>
      </c>
      <c r="H65" s="33">
        <v>8700</v>
      </c>
      <c r="I65" s="9" t="s">
        <v>16</v>
      </c>
    </row>
    <row r="66" spans="1:40" s="12" customFormat="1" ht="60" customHeight="1" x14ac:dyDescent="0.85">
      <c r="A66" s="7" t="s">
        <v>67</v>
      </c>
      <c r="B66" s="8" t="s">
        <v>34</v>
      </c>
      <c r="C66" s="8">
        <v>1000</v>
      </c>
      <c r="D66" s="31">
        <v>9000</v>
      </c>
      <c r="E66" s="31">
        <v>7200</v>
      </c>
      <c r="F66" s="32">
        <v>5900</v>
      </c>
      <c r="G66" s="32">
        <v>4500</v>
      </c>
      <c r="H66" s="32">
        <v>2700</v>
      </c>
      <c r="I66" s="9" t="s">
        <v>16</v>
      </c>
    </row>
    <row r="67" spans="1:40" s="12" customFormat="1" ht="60" customHeight="1" x14ac:dyDescent="0.85">
      <c r="A67" s="7" t="s">
        <v>68</v>
      </c>
      <c r="B67" s="8" t="s">
        <v>34</v>
      </c>
      <c r="C67" s="8">
        <v>1000</v>
      </c>
      <c r="D67" s="33">
        <v>45500</v>
      </c>
      <c r="E67" s="33">
        <v>36400</v>
      </c>
      <c r="F67" s="33">
        <v>29500</v>
      </c>
      <c r="G67" s="33">
        <v>22700</v>
      </c>
      <c r="H67" s="33">
        <v>13600</v>
      </c>
      <c r="I67" s="9" t="s">
        <v>16</v>
      </c>
    </row>
    <row r="68" spans="1:40" s="12" customFormat="1" ht="60" customHeight="1" x14ac:dyDescent="0.85">
      <c r="A68" s="7" t="s">
        <v>69</v>
      </c>
      <c r="B68" s="8" t="s">
        <v>34</v>
      </c>
      <c r="C68" s="8">
        <v>1000</v>
      </c>
      <c r="D68" s="33">
        <v>52000</v>
      </c>
      <c r="E68" s="33">
        <v>41600</v>
      </c>
      <c r="F68" s="33">
        <v>33800</v>
      </c>
      <c r="G68" s="33">
        <v>26000</v>
      </c>
      <c r="H68" s="33">
        <v>15600</v>
      </c>
      <c r="I68" s="9" t="s">
        <v>16</v>
      </c>
    </row>
    <row r="69" spans="1:40" ht="60" customHeight="1" x14ac:dyDescent="0.85">
      <c r="A69" s="10"/>
      <c r="B69" s="10"/>
      <c r="C69" s="10"/>
      <c r="D69" s="10"/>
      <c r="E69" s="10"/>
      <c r="F69" s="10"/>
      <c r="G69" s="10"/>
      <c r="H69" s="13"/>
      <c r="I69" s="13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</row>
    <row r="70" spans="1:40" ht="60" customHeight="1" x14ac:dyDescent="0.85">
      <c r="A70" s="10"/>
      <c r="B70" s="10"/>
      <c r="C70" s="10"/>
      <c r="D70" s="10"/>
      <c r="E70" s="10"/>
      <c r="F70" s="10"/>
      <c r="G70" s="10"/>
      <c r="H70" s="10"/>
      <c r="I70" s="10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</row>
    <row r="71" spans="1:40" s="16" customFormat="1" ht="101.5" x14ac:dyDescent="1.75">
      <c r="A71" s="11" t="s">
        <v>70</v>
      </c>
      <c r="B71" s="15"/>
      <c r="C71" s="15"/>
      <c r="D71" s="15"/>
      <c r="E71" s="15"/>
      <c r="F71" s="15"/>
      <c r="G71" s="15"/>
      <c r="H71" s="15"/>
      <c r="I71" s="15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s="12" customFormat="1" ht="60" customHeight="1" x14ac:dyDescent="0.85">
      <c r="A72" s="5"/>
      <c r="B72" s="5"/>
      <c r="C72" s="5"/>
      <c r="D72" s="38" t="s">
        <v>3</v>
      </c>
      <c r="E72" s="39"/>
      <c r="F72" s="39"/>
      <c r="G72" s="39"/>
      <c r="H72" s="39"/>
      <c r="I72" s="40"/>
    </row>
    <row r="73" spans="1:40" s="12" customFormat="1" ht="241.15" customHeight="1" x14ac:dyDescent="0.85">
      <c r="A73" s="5" t="s">
        <v>4</v>
      </c>
      <c r="B73" s="6" t="s">
        <v>5</v>
      </c>
      <c r="C73" s="5" t="s">
        <v>6</v>
      </c>
      <c r="D73" s="5" t="s">
        <v>7</v>
      </c>
      <c r="E73" s="5" t="s">
        <v>8</v>
      </c>
      <c r="F73" s="5" t="s">
        <v>9</v>
      </c>
      <c r="G73" s="5" t="s">
        <v>10</v>
      </c>
      <c r="H73" s="5" t="s">
        <v>11</v>
      </c>
      <c r="I73" s="5" t="s">
        <v>12</v>
      </c>
    </row>
    <row r="74" spans="1:40" s="12" customFormat="1" ht="60" customHeight="1" x14ac:dyDescent="0.85">
      <c r="A74" s="7" t="s">
        <v>71</v>
      </c>
      <c r="B74" s="8" t="s">
        <v>14</v>
      </c>
      <c r="C74" s="8">
        <v>10000</v>
      </c>
      <c r="D74" s="37">
        <f>P74*$M$3</f>
        <v>0</v>
      </c>
      <c r="E74" s="37">
        <f t="shared" ref="E74:H74" si="7">Q74*$M$3</f>
        <v>0</v>
      </c>
      <c r="F74" s="37">
        <f t="shared" si="7"/>
        <v>0</v>
      </c>
      <c r="G74" s="37">
        <f t="shared" si="7"/>
        <v>0</v>
      </c>
      <c r="H74" s="37">
        <f t="shared" si="7"/>
        <v>0</v>
      </c>
      <c r="I74" s="9" t="s">
        <v>16</v>
      </c>
    </row>
    <row r="75" spans="1:40" s="12" customFormat="1" ht="60" customHeight="1" x14ac:dyDescent="0.85">
      <c r="A75" s="7" t="s">
        <v>72</v>
      </c>
      <c r="B75" s="8" t="s">
        <v>14</v>
      </c>
      <c r="C75" s="8">
        <v>10000</v>
      </c>
      <c r="D75" s="37">
        <f t="shared" ref="D75:D77" si="8">P75*$M$3</f>
        <v>0</v>
      </c>
      <c r="E75" s="37">
        <f t="shared" ref="E75:E77" si="9">Q75*$M$3</f>
        <v>0</v>
      </c>
      <c r="F75" s="37">
        <f t="shared" ref="F75:F77" si="10">R75*$M$3</f>
        <v>0</v>
      </c>
      <c r="G75" s="37">
        <f t="shared" ref="G75:G77" si="11">S75*$M$3</f>
        <v>0</v>
      </c>
      <c r="H75" s="37">
        <f t="shared" ref="H75:H77" si="12">T75*$M$3</f>
        <v>0</v>
      </c>
      <c r="I75" s="9" t="s">
        <v>16</v>
      </c>
    </row>
    <row r="76" spans="1:40" s="12" customFormat="1" ht="60" customHeight="1" x14ac:dyDescent="0.85">
      <c r="A76" s="7" t="s">
        <v>73</v>
      </c>
      <c r="B76" s="8" t="s">
        <v>23</v>
      </c>
      <c r="C76" s="8">
        <v>5000</v>
      </c>
      <c r="D76" s="37">
        <f t="shared" si="8"/>
        <v>0</v>
      </c>
      <c r="E76" s="37">
        <f t="shared" si="9"/>
        <v>0</v>
      </c>
      <c r="F76" s="37">
        <f t="shared" si="10"/>
        <v>0</v>
      </c>
      <c r="G76" s="37">
        <f t="shared" si="11"/>
        <v>0</v>
      </c>
      <c r="H76" s="37">
        <f t="shared" si="12"/>
        <v>0</v>
      </c>
      <c r="I76" s="9" t="s">
        <v>16</v>
      </c>
    </row>
    <row r="77" spans="1:40" s="12" customFormat="1" ht="60" customHeight="1" x14ac:dyDescent="0.85">
      <c r="A77" s="7" t="s">
        <v>74</v>
      </c>
      <c r="B77" s="8" t="s">
        <v>34</v>
      </c>
      <c r="C77" s="8">
        <v>1000</v>
      </c>
      <c r="D77" s="37">
        <f t="shared" si="8"/>
        <v>0</v>
      </c>
      <c r="E77" s="37">
        <f t="shared" si="9"/>
        <v>0</v>
      </c>
      <c r="F77" s="37">
        <f t="shared" si="10"/>
        <v>0</v>
      </c>
      <c r="G77" s="37">
        <f t="shared" si="11"/>
        <v>0</v>
      </c>
      <c r="H77" s="37">
        <f t="shared" si="12"/>
        <v>0</v>
      </c>
      <c r="I77" s="9" t="s">
        <v>16</v>
      </c>
    </row>
    <row r="78" spans="1:40" ht="60" customHeight="1" x14ac:dyDescent="0.85">
      <c r="A78" s="10"/>
      <c r="B78" s="10"/>
      <c r="C78" s="10"/>
      <c r="D78" s="10"/>
      <c r="E78" s="10"/>
      <c r="F78" s="10"/>
      <c r="G78" s="10"/>
      <c r="H78" s="13"/>
      <c r="I78" s="13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60" customHeight="1" x14ac:dyDescent="0.85">
      <c r="A79" s="10"/>
      <c r="B79" s="10"/>
      <c r="C79" s="10"/>
      <c r="D79" s="10"/>
      <c r="E79" s="10"/>
      <c r="F79" s="10"/>
      <c r="G79" s="10"/>
      <c r="H79" s="13"/>
      <c r="I79" s="13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s="16" customFormat="1" ht="101.5" x14ac:dyDescent="1.75">
      <c r="A80" s="11" t="s">
        <v>75</v>
      </c>
      <c r="B80" s="15"/>
      <c r="C80" s="15"/>
      <c r="D80" s="15"/>
      <c r="E80" s="15"/>
      <c r="F80" s="15"/>
      <c r="G80" s="15"/>
      <c r="H80" s="15"/>
      <c r="I80" s="15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9" s="12" customFormat="1" ht="60" customHeight="1" x14ac:dyDescent="0.85">
      <c r="A81" s="5"/>
      <c r="B81" s="5"/>
      <c r="C81" s="5"/>
      <c r="D81" s="38" t="s">
        <v>3</v>
      </c>
      <c r="E81" s="39"/>
      <c r="F81" s="39"/>
      <c r="G81" s="39"/>
      <c r="H81" s="39"/>
      <c r="I81" s="40"/>
    </row>
    <row r="82" spans="1:9" s="12" customFormat="1" ht="206" x14ac:dyDescent="0.85">
      <c r="A82" s="5" t="s">
        <v>4</v>
      </c>
      <c r="B82" s="6" t="s">
        <v>5</v>
      </c>
      <c r="C82" s="5" t="s">
        <v>6</v>
      </c>
      <c r="D82" s="5" t="s">
        <v>7</v>
      </c>
      <c r="E82" s="5" t="s">
        <v>8</v>
      </c>
      <c r="F82" s="5" t="s">
        <v>9</v>
      </c>
      <c r="G82" s="5" t="s">
        <v>10</v>
      </c>
      <c r="H82" s="5" t="s">
        <v>11</v>
      </c>
      <c r="I82" s="5" t="s">
        <v>12</v>
      </c>
    </row>
    <row r="83" spans="1:9" s="12" customFormat="1" ht="60" customHeight="1" x14ac:dyDescent="0.85">
      <c r="A83" s="7" t="s">
        <v>76</v>
      </c>
      <c r="B83" s="8" t="s">
        <v>14</v>
      </c>
      <c r="C83" s="8" t="s">
        <v>15</v>
      </c>
      <c r="D83" s="31">
        <v>0</v>
      </c>
      <c r="E83" s="31">
        <v>0</v>
      </c>
      <c r="F83" s="31">
        <v>0</v>
      </c>
      <c r="G83" s="31">
        <v>0</v>
      </c>
      <c r="H83" s="31">
        <v>0</v>
      </c>
      <c r="I83" s="9" t="s">
        <v>16</v>
      </c>
    </row>
    <row r="84" spans="1:9" s="12" customFormat="1" ht="60" customHeight="1" x14ac:dyDescent="0.85">
      <c r="A84" s="7" t="s">
        <v>77</v>
      </c>
      <c r="B84" s="8" t="s">
        <v>14</v>
      </c>
      <c r="C84" s="8" t="s">
        <v>15</v>
      </c>
      <c r="D84" s="31">
        <v>0</v>
      </c>
      <c r="E84" s="31">
        <v>0</v>
      </c>
      <c r="F84" s="31">
        <v>0</v>
      </c>
      <c r="G84" s="31">
        <v>0</v>
      </c>
      <c r="H84" s="31">
        <v>0</v>
      </c>
      <c r="I84" s="9" t="s">
        <v>16</v>
      </c>
    </row>
    <row r="85" spans="1:9" s="12" customFormat="1" ht="60" customHeight="1" x14ac:dyDescent="0.85">
      <c r="A85" s="7" t="s">
        <v>78</v>
      </c>
      <c r="B85" s="8" t="s">
        <v>14</v>
      </c>
      <c r="C85" s="8" t="s">
        <v>15</v>
      </c>
      <c r="D85" s="31">
        <v>0</v>
      </c>
      <c r="E85" s="31">
        <v>0</v>
      </c>
      <c r="F85" s="31">
        <v>0</v>
      </c>
      <c r="G85" s="31">
        <v>0</v>
      </c>
      <c r="H85" s="31">
        <v>0</v>
      </c>
      <c r="I85" s="9" t="s">
        <v>16</v>
      </c>
    </row>
    <row r="86" spans="1:9" s="12" customFormat="1" ht="60" customHeight="1" x14ac:dyDescent="0.85">
      <c r="A86" s="7" t="s">
        <v>79</v>
      </c>
      <c r="B86" s="8" t="s">
        <v>14</v>
      </c>
      <c r="C86" s="8" t="s">
        <v>15</v>
      </c>
      <c r="D86" s="31">
        <v>0</v>
      </c>
      <c r="E86" s="31">
        <v>0</v>
      </c>
      <c r="F86" s="31">
        <v>0</v>
      </c>
      <c r="G86" s="31">
        <v>0</v>
      </c>
      <c r="H86" s="31">
        <v>0</v>
      </c>
      <c r="I86" s="9" t="s">
        <v>16</v>
      </c>
    </row>
    <row r="87" spans="1:9" s="12" customFormat="1" ht="60" customHeight="1" x14ac:dyDescent="0.85">
      <c r="A87" s="7" t="s">
        <v>80</v>
      </c>
      <c r="B87" s="8" t="s">
        <v>14</v>
      </c>
      <c r="C87" s="8">
        <v>10000</v>
      </c>
      <c r="D87" s="31">
        <v>3700</v>
      </c>
      <c r="E87" s="31">
        <v>3000</v>
      </c>
      <c r="F87" s="36">
        <v>2500</v>
      </c>
      <c r="G87" s="36">
        <v>1900</v>
      </c>
      <c r="H87" s="36">
        <v>1200</v>
      </c>
      <c r="I87" s="9" t="s">
        <v>16</v>
      </c>
    </row>
    <row r="88" spans="1:9" s="12" customFormat="1" ht="60" customHeight="1" x14ac:dyDescent="0.85">
      <c r="A88" s="7" t="s">
        <v>81</v>
      </c>
      <c r="B88" s="8" t="s">
        <v>14</v>
      </c>
      <c r="C88" s="8">
        <v>10000</v>
      </c>
      <c r="D88" s="31">
        <v>3700</v>
      </c>
      <c r="E88" s="31">
        <v>3000</v>
      </c>
      <c r="F88" s="36">
        <v>2500</v>
      </c>
      <c r="G88" s="36">
        <v>1900</v>
      </c>
      <c r="H88" s="36">
        <v>1200</v>
      </c>
      <c r="I88" s="9" t="s">
        <v>16</v>
      </c>
    </row>
    <row r="89" spans="1:9" s="12" customFormat="1" ht="60" customHeight="1" x14ac:dyDescent="0.85">
      <c r="A89" s="7" t="s">
        <v>82</v>
      </c>
      <c r="B89" s="8" t="s">
        <v>23</v>
      </c>
      <c r="C89" s="8">
        <v>5000</v>
      </c>
      <c r="D89" s="31">
        <v>22100</v>
      </c>
      <c r="E89" s="31">
        <v>17700</v>
      </c>
      <c r="F89" s="36">
        <v>14400</v>
      </c>
      <c r="G89" s="36">
        <v>11100</v>
      </c>
      <c r="H89" s="36">
        <v>6700</v>
      </c>
      <c r="I89" s="9" t="s">
        <v>16</v>
      </c>
    </row>
    <row r="90" spans="1:9" s="12" customFormat="1" ht="60" customHeight="1" x14ac:dyDescent="0.85">
      <c r="A90" s="7" t="s">
        <v>83</v>
      </c>
      <c r="B90" s="8" t="s">
        <v>23</v>
      </c>
      <c r="C90" s="8">
        <v>5000</v>
      </c>
      <c r="D90" s="31">
        <f>D33*3</f>
        <v>39000</v>
      </c>
      <c r="E90" s="31">
        <f t="shared" ref="E90:H90" si="13">E33*3</f>
        <v>31200</v>
      </c>
      <c r="F90" s="31">
        <f t="shared" si="13"/>
        <v>25500</v>
      </c>
      <c r="G90" s="31">
        <f t="shared" si="13"/>
        <v>19500</v>
      </c>
      <c r="H90" s="31">
        <f t="shared" si="13"/>
        <v>11700</v>
      </c>
      <c r="I90" s="9" t="s">
        <v>16</v>
      </c>
    </row>
    <row r="91" spans="1:9" s="12" customFormat="1" ht="60" customHeight="1" x14ac:dyDescent="0.85">
      <c r="A91" s="7" t="s">
        <v>84</v>
      </c>
      <c r="B91" s="8" t="s">
        <v>23</v>
      </c>
      <c r="C91" s="8">
        <v>5000</v>
      </c>
      <c r="D91" s="31">
        <v>22100</v>
      </c>
      <c r="E91" s="31">
        <v>17700</v>
      </c>
      <c r="F91" s="36">
        <v>14400</v>
      </c>
      <c r="G91" s="36">
        <v>11100</v>
      </c>
      <c r="H91" s="36">
        <v>6700</v>
      </c>
      <c r="I91" s="9" t="s">
        <v>16</v>
      </c>
    </row>
    <row r="92" spans="1:9" s="12" customFormat="1" ht="60" customHeight="1" x14ac:dyDescent="0.85">
      <c r="A92" s="7" t="s">
        <v>85</v>
      </c>
      <c r="B92" s="8" t="s">
        <v>23</v>
      </c>
      <c r="C92" s="8">
        <v>5000</v>
      </c>
      <c r="D92" s="33">
        <v>41600</v>
      </c>
      <c r="E92" s="33">
        <v>33300</v>
      </c>
      <c r="F92" s="33">
        <v>27000</v>
      </c>
      <c r="G92" s="33">
        <v>20800</v>
      </c>
      <c r="H92" s="33">
        <v>12500</v>
      </c>
      <c r="I92" s="9" t="s">
        <v>16</v>
      </c>
    </row>
    <row r="93" spans="1:9" s="12" customFormat="1" ht="60" customHeight="1" x14ac:dyDescent="0.85">
      <c r="A93" s="7" t="s">
        <v>86</v>
      </c>
      <c r="B93" s="8" t="s">
        <v>23</v>
      </c>
      <c r="C93" s="8">
        <v>5000</v>
      </c>
      <c r="D93" s="33">
        <v>41600</v>
      </c>
      <c r="E93" s="33">
        <v>33300</v>
      </c>
      <c r="F93" s="33">
        <v>27000</v>
      </c>
      <c r="G93" s="33">
        <v>20800</v>
      </c>
      <c r="H93" s="33">
        <v>12500</v>
      </c>
      <c r="I93" s="9" t="s">
        <v>16</v>
      </c>
    </row>
    <row r="94" spans="1:9" s="12" customFormat="1" ht="60" customHeight="1" x14ac:dyDescent="0.85">
      <c r="A94" s="7" t="s">
        <v>87</v>
      </c>
      <c r="B94" s="8" t="s">
        <v>23</v>
      </c>
      <c r="C94" s="8">
        <v>5000</v>
      </c>
      <c r="D94" s="31">
        <v>22100</v>
      </c>
      <c r="E94" s="31">
        <v>17700</v>
      </c>
      <c r="F94" s="36">
        <v>14400</v>
      </c>
      <c r="G94" s="36">
        <v>11100</v>
      </c>
      <c r="H94" s="36">
        <v>6700</v>
      </c>
      <c r="I94" s="9" t="s">
        <v>16</v>
      </c>
    </row>
    <row r="95" spans="1:9" s="12" customFormat="1" ht="60" customHeight="1" x14ac:dyDescent="0.85">
      <c r="A95" s="7" t="s">
        <v>88</v>
      </c>
      <c r="B95" s="8" t="s">
        <v>34</v>
      </c>
      <c r="C95" s="8">
        <v>1000</v>
      </c>
      <c r="D95" s="31">
        <v>6500</v>
      </c>
      <c r="E95" s="31">
        <v>5200</v>
      </c>
      <c r="F95" s="32">
        <v>4300</v>
      </c>
      <c r="G95" s="32">
        <v>3300</v>
      </c>
      <c r="H95" s="32">
        <v>2000</v>
      </c>
      <c r="I95" s="9" t="s">
        <v>16</v>
      </c>
    </row>
    <row r="96" spans="1:9" s="12" customFormat="1" ht="60" customHeight="1" x14ac:dyDescent="0.85">
      <c r="A96" s="7" t="s">
        <v>89</v>
      </c>
      <c r="B96" s="8" t="s">
        <v>34</v>
      </c>
      <c r="C96" s="8">
        <v>1000</v>
      </c>
      <c r="D96" s="31">
        <v>3900</v>
      </c>
      <c r="E96" s="31">
        <v>3100</v>
      </c>
      <c r="F96" s="32">
        <v>2500</v>
      </c>
      <c r="G96" s="32">
        <v>1900</v>
      </c>
      <c r="H96" s="32">
        <v>1100</v>
      </c>
      <c r="I96" s="9" t="s">
        <v>16</v>
      </c>
    </row>
    <row r="97" spans="1:40" s="12" customFormat="1" ht="60" customHeight="1" x14ac:dyDescent="0.85">
      <c r="A97" s="7" t="s">
        <v>90</v>
      </c>
      <c r="B97" s="8" t="s">
        <v>34</v>
      </c>
      <c r="C97" s="8">
        <v>1000</v>
      </c>
      <c r="D97" s="31">
        <v>9100</v>
      </c>
      <c r="E97" s="31">
        <v>7300</v>
      </c>
      <c r="F97" s="32">
        <v>6000</v>
      </c>
      <c r="G97" s="32">
        <v>4600</v>
      </c>
      <c r="H97" s="32">
        <v>2800</v>
      </c>
      <c r="I97" s="9" t="s">
        <v>16</v>
      </c>
    </row>
    <row r="98" spans="1:40" ht="60" customHeight="1" x14ac:dyDescent="0.85">
      <c r="A98" s="10"/>
      <c r="B98" s="10"/>
      <c r="C98" s="10"/>
      <c r="D98" s="10"/>
      <c r="E98" s="10"/>
      <c r="F98" s="10"/>
      <c r="G98" s="10"/>
      <c r="H98" s="13"/>
      <c r="I98" s="13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</row>
    <row r="99" spans="1:40" ht="60" customHeight="1" x14ac:dyDescent="0.25">
      <c r="A99" s="10"/>
      <c r="B99" s="10"/>
      <c r="C99" s="10"/>
      <c r="D99" s="10"/>
      <c r="E99" s="10"/>
      <c r="F99" s="10"/>
      <c r="G99" s="10"/>
      <c r="H99" s="13"/>
      <c r="I99" s="13"/>
    </row>
    <row r="100" spans="1:40" s="16" customFormat="1" ht="101.5" x14ac:dyDescent="1.75">
      <c r="A100" s="11" t="s">
        <v>91</v>
      </c>
      <c r="B100" s="15"/>
      <c r="C100" s="15"/>
      <c r="D100" s="15"/>
      <c r="E100" s="15"/>
      <c r="F100" s="15"/>
      <c r="G100" s="15"/>
      <c r="H100" s="15"/>
      <c r="I100" s="15"/>
    </row>
    <row r="101" spans="1:40" s="12" customFormat="1" ht="60" customHeight="1" x14ac:dyDescent="0.85">
      <c r="A101" s="5"/>
      <c r="B101" s="5"/>
      <c r="C101" s="5"/>
      <c r="D101" s="38" t="s">
        <v>3</v>
      </c>
      <c r="E101" s="39"/>
      <c r="F101" s="39"/>
      <c r="G101" s="39"/>
      <c r="H101" s="39"/>
      <c r="I101" s="40"/>
    </row>
    <row r="102" spans="1:40" s="12" customFormat="1" ht="206" x14ac:dyDescent="0.85">
      <c r="A102" s="5" t="s">
        <v>4</v>
      </c>
      <c r="B102" s="6" t="s">
        <v>5</v>
      </c>
      <c r="C102" s="5" t="s">
        <v>6</v>
      </c>
      <c r="D102" s="5" t="s">
        <v>7</v>
      </c>
      <c r="E102" s="5" t="s">
        <v>8</v>
      </c>
      <c r="F102" s="5" t="s">
        <v>9</v>
      </c>
      <c r="G102" s="5" t="s">
        <v>10</v>
      </c>
      <c r="H102" s="5" t="s">
        <v>11</v>
      </c>
      <c r="I102" s="5" t="s">
        <v>12</v>
      </c>
    </row>
    <row r="103" spans="1:40" s="12" customFormat="1" ht="60" customHeight="1" x14ac:dyDescent="0.85">
      <c r="A103" s="7" t="s">
        <v>92</v>
      </c>
      <c r="B103" s="8" t="s">
        <v>14</v>
      </c>
      <c r="C103" s="8">
        <v>10000</v>
      </c>
      <c r="D103" s="31">
        <v>6500</v>
      </c>
      <c r="E103" s="31">
        <v>5200</v>
      </c>
      <c r="F103" s="32">
        <v>4300</v>
      </c>
      <c r="G103" s="32">
        <v>3300</v>
      </c>
      <c r="H103" s="32">
        <v>2000</v>
      </c>
      <c r="I103" s="9" t="s">
        <v>16</v>
      </c>
    </row>
    <row r="104" spans="1:40" s="12" customFormat="1" ht="60" customHeight="1" x14ac:dyDescent="0.85">
      <c r="A104" s="7" t="s">
        <v>93</v>
      </c>
      <c r="B104" s="8" t="s">
        <v>14</v>
      </c>
      <c r="C104" s="8">
        <v>10000</v>
      </c>
      <c r="D104" s="31">
        <v>6500</v>
      </c>
      <c r="E104" s="31">
        <v>5200</v>
      </c>
      <c r="F104" s="32">
        <v>4300</v>
      </c>
      <c r="G104" s="32">
        <v>3300</v>
      </c>
      <c r="H104" s="32">
        <v>2000</v>
      </c>
      <c r="I104" s="9" t="s">
        <v>16</v>
      </c>
    </row>
    <row r="105" spans="1:40" s="12" customFormat="1" ht="60" customHeight="1" x14ac:dyDescent="0.85">
      <c r="A105" s="7" t="s">
        <v>94</v>
      </c>
      <c r="B105" s="8" t="s">
        <v>23</v>
      </c>
      <c r="C105" s="8">
        <v>5000</v>
      </c>
      <c r="D105" s="31">
        <v>13000</v>
      </c>
      <c r="E105" s="31">
        <v>10400</v>
      </c>
      <c r="F105" s="32">
        <v>8500</v>
      </c>
      <c r="G105" s="32">
        <v>6500</v>
      </c>
      <c r="H105" s="32">
        <v>3900</v>
      </c>
      <c r="I105" s="9" t="s">
        <v>16</v>
      </c>
    </row>
    <row r="106" spans="1:40" s="12" customFormat="1" ht="60" customHeight="1" x14ac:dyDescent="0.85">
      <c r="A106" s="7" t="s">
        <v>95</v>
      </c>
      <c r="B106" s="8" t="s">
        <v>23</v>
      </c>
      <c r="C106" s="8">
        <v>5000</v>
      </c>
      <c r="D106" s="31">
        <v>13000</v>
      </c>
      <c r="E106" s="31">
        <v>10400</v>
      </c>
      <c r="F106" s="32">
        <v>8500</v>
      </c>
      <c r="G106" s="32">
        <v>6500</v>
      </c>
      <c r="H106" s="32">
        <v>3900</v>
      </c>
      <c r="I106" s="9" t="s">
        <v>16</v>
      </c>
    </row>
    <row r="107" spans="1:40" ht="60" customHeight="1" x14ac:dyDescent="0.25">
      <c r="A107" s="23"/>
      <c r="B107" s="24"/>
      <c r="C107" s="24"/>
      <c r="D107" s="24"/>
      <c r="E107" s="24"/>
      <c r="F107" s="24"/>
      <c r="G107" s="24"/>
      <c r="H107" s="25"/>
      <c r="I107" s="25"/>
    </row>
    <row r="108" spans="1:40" ht="12.5" x14ac:dyDescent="0.25">
      <c r="A108" s="41" t="s">
        <v>96</v>
      </c>
      <c r="B108" s="42"/>
      <c r="C108" s="42"/>
      <c r="D108" s="42"/>
      <c r="E108" s="42"/>
      <c r="F108" s="42"/>
      <c r="G108" s="42"/>
      <c r="H108" s="42"/>
    </row>
    <row r="109" spans="1:40" ht="13" x14ac:dyDescent="0.25">
      <c r="A109" s="27"/>
      <c r="B109" s="27"/>
      <c r="C109" s="27"/>
      <c r="D109" s="27"/>
      <c r="E109" s="27"/>
      <c r="F109" s="27"/>
      <c r="G109" s="27"/>
      <c r="H109" s="27"/>
      <c r="I109" s="27"/>
    </row>
    <row r="110" spans="1:40" ht="13" x14ac:dyDescent="0.25">
      <c r="A110" s="28"/>
      <c r="B110" s="28"/>
      <c r="C110" s="28"/>
      <c r="D110" s="29"/>
      <c r="E110" s="29"/>
      <c r="F110" s="29"/>
      <c r="G110" s="29"/>
      <c r="H110" s="29"/>
      <c r="I110" s="29"/>
    </row>
    <row r="111" spans="1:40" ht="13" x14ac:dyDescent="0.25">
      <c r="A111" s="27"/>
      <c r="B111" s="27"/>
      <c r="C111" s="27"/>
      <c r="D111" s="27"/>
      <c r="E111" s="27"/>
      <c r="F111" s="27"/>
      <c r="G111" s="27"/>
      <c r="H111" s="30"/>
      <c r="I111" s="30"/>
    </row>
    <row r="112" spans="1:40" ht="12.5" x14ac:dyDescent="0.25">
      <c r="A112" s="41" t="s">
        <v>96</v>
      </c>
      <c r="B112" s="42"/>
      <c r="C112" s="42"/>
      <c r="D112" s="42"/>
      <c r="E112" s="42"/>
      <c r="F112" s="42"/>
      <c r="G112" s="42"/>
      <c r="H112" s="42"/>
    </row>
    <row r="113" spans="1:9" ht="13" x14ac:dyDescent="0.25">
      <c r="A113" s="26"/>
      <c r="B113" s="26"/>
      <c r="C113" s="26"/>
      <c r="D113" s="26"/>
      <c r="E113" s="26"/>
      <c r="F113" s="26"/>
      <c r="G113" s="26"/>
      <c r="H113" s="26"/>
      <c r="I113" s="26"/>
    </row>
  </sheetData>
  <mergeCells count="10">
    <mergeCell ref="D81:I81"/>
    <mergeCell ref="D101:I101"/>
    <mergeCell ref="A108:H108"/>
    <mergeCell ref="A112:H112"/>
    <mergeCell ref="D72:I72"/>
    <mergeCell ref="D3:I3"/>
    <mergeCell ref="D17:I17"/>
    <mergeCell ref="D22:I22"/>
    <mergeCell ref="D28:I28"/>
    <mergeCell ref="D47:I4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2025.SPH.update</vt:lpstr>
      <vt:lpstr>'2025.SPH.update'!Print_Area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cho</dc:creator>
  <cp:lastModifiedBy>에스피에이치 SPH</cp:lastModifiedBy>
  <cp:lastPrinted>2025-02-19T03:12:51Z</cp:lastPrinted>
  <dcterms:created xsi:type="dcterms:W3CDTF">2018-07-04T07:20:05Z</dcterms:created>
  <dcterms:modified xsi:type="dcterms:W3CDTF">2026-05-11T05:06:31Z</dcterms:modified>
</cp:coreProperties>
</file>